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tables/table31.xml" ContentType="application/vnd.openxmlformats-officedocument.spreadsheetml.table+xml"/>
  <Override PartName="/xl/queryTables/queryTable31.xml" ContentType="application/vnd.openxmlformats-officedocument.spreadsheetml.queryTable+xml"/>
  <Override PartName="/xl/tables/table32.xml" ContentType="application/vnd.openxmlformats-officedocument.spreadsheetml.table+xml"/>
  <Override PartName="/xl/queryTables/queryTable32.xml" ContentType="application/vnd.openxmlformats-officedocument.spreadsheetml.queryTable+xml"/>
  <Override PartName="/xl/tables/table33.xml" ContentType="application/vnd.openxmlformats-officedocument.spreadsheetml.table+xml"/>
  <Override PartName="/xl/queryTables/queryTable33.xml" ContentType="application/vnd.openxmlformats-officedocument.spreadsheetml.queryTable+xml"/>
  <Override PartName="/xl/tables/table34.xml" ContentType="application/vnd.openxmlformats-officedocument.spreadsheetml.table+xml"/>
  <Override PartName="/xl/queryTables/queryTable34.xml" ContentType="application/vnd.openxmlformats-officedocument.spreadsheetml.queryTable+xml"/>
  <Override PartName="/xl/tables/table35.xml" ContentType="application/vnd.openxmlformats-officedocument.spreadsheetml.table+xml"/>
  <Override PartName="/xl/queryTables/queryTable35.xml" ContentType="application/vnd.openxmlformats-officedocument.spreadsheetml.queryTable+xml"/>
  <Override PartName="/xl/tables/table36.xml" ContentType="application/vnd.openxmlformats-officedocument.spreadsheetml.table+xml"/>
  <Override PartName="/xl/queryTables/queryTable36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ma\Desktop\AiSD2025\lista3\dane i wykresy\"/>
    </mc:Choice>
  </mc:AlternateContent>
  <xr:revisionPtr revIDLastSave="0" documentId="13_ncr:1_{5528E94F-F4D8-4DC8-A586-F39E60CE622F}" xr6:coauthVersionLast="47" xr6:coauthVersionMax="47" xr10:uidLastSave="{00000000-0000-0000-0000-000000000000}"/>
  <bookViews>
    <workbookView xWindow="14295" yWindow="0" windowWidth="14610" windowHeight="15585" xr2:uid="{C6DF7EC2-C745-4DC0-95CA-042D37896919}"/>
  </bookViews>
  <sheets>
    <sheet name="Cut Rod" sheetId="3" r:id="rId1"/>
    <sheet name="Naive Cut Rod" sheetId="5" r:id="rId2"/>
    <sheet name="LCS" sheetId="14" r:id="rId3"/>
    <sheet name="Activity Selector Modded" sheetId="8" r:id="rId4"/>
    <sheet name="Huffmann" sheetId="9" r:id="rId5"/>
    <sheet name="Ternary Huffmann" sheetId="10" r:id="rId6"/>
  </sheets>
  <definedNames>
    <definedName name="ExternalData_1" localSheetId="3" hidden="1">'Activity Selector Modded'!$A$2:$D$22</definedName>
    <definedName name="ExternalData_1" localSheetId="0" hidden="1">'Cut Rod'!$A$2:$C$22</definedName>
    <definedName name="ExternalData_1" localSheetId="4" hidden="1">Huffmann!$A$2:$B$22</definedName>
    <definedName name="ExternalData_1" localSheetId="1" hidden="1">'Naive Cut Rod'!$A$2:$B$22</definedName>
    <definedName name="ExternalData_1" localSheetId="5" hidden="1">'Ternary Huffmann'!#REF!</definedName>
    <definedName name="ExternalData_10" localSheetId="2" hidden="1">LCS!$M$2:$O$22</definedName>
    <definedName name="ExternalData_11" localSheetId="2" hidden="1">LCS!$Q$2:$S$22</definedName>
    <definedName name="ExternalData_12" localSheetId="2" hidden="1">LCS!$U$2:$W$22</definedName>
    <definedName name="ExternalData_2" localSheetId="3" hidden="1">'Activity Selector Modded'!$F$2:$I$22</definedName>
    <definedName name="ExternalData_2" localSheetId="0" hidden="1">'Cut Rod'!$E$2:$G$22</definedName>
    <definedName name="ExternalData_2" localSheetId="4" hidden="1">Huffmann!$D$2:$E$22</definedName>
    <definedName name="ExternalData_2" localSheetId="1" hidden="1">'Naive Cut Rod'!$D$2:$E$22</definedName>
    <definedName name="ExternalData_2" localSheetId="5" hidden="1">'Ternary Huffmann'!$D$2:$E$22</definedName>
    <definedName name="ExternalData_3" localSheetId="3" hidden="1">'Activity Selector Modded'!$K$2:$N$22</definedName>
    <definedName name="ExternalData_3" localSheetId="0" hidden="1">'Cut Rod'!$I$2:$K$22</definedName>
    <definedName name="ExternalData_3" localSheetId="4" hidden="1">Huffmann!$G$2:$H$22</definedName>
    <definedName name="ExternalData_3" localSheetId="1" hidden="1">'Naive Cut Rod'!$G$2:$H$22</definedName>
    <definedName name="ExternalData_3" localSheetId="5" hidden="1">'Ternary Huffmann'!$G$2:$H$22</definedName>
    <definedName name="ExternalData_4" localSheetId="3" hidden="1">'Activity Selector Modded'!$P$2:$S$22</definedName>
    <definedName name="ExternalData_4" localSheetId="0" hidden="1">'Cut Rod'!$M$2:$O$22</definedName>
    <definedName name="ExternalData_4" localSheetId="4" hidden="1">Huffmann!$J$2:$K$22</definedName>
    <definedName name="ExternalData_4" localSheetId="1" hidden="1">'Naive Cut Rod'!$J$2:$K$22</definedName>
    <definedName name="ExternalData_4" localSheetId="5" hidden="1">'Ternary Huffmann'!$J$2:$K$22</definedName>
    <definedName name="ExternalData_5" localSheetId="3" hidden="1">'Activity Selector Modded'!$U$2:$X$22</definedName>
    <definedName name="ExternalData_5" localSheetId="0" hidden="1">'Cut Rod'!$Q$2:$S$22</definedName>
    <definedName name="ExternalData_5" localSheetId="4" hidden="1">Huffmann!$M$2:$N$22</definedName>
    <definedName name="ExternalData_5" localSheetId="1" hidden="1">'Naive Cut Rod'!$M$2:$N$22</definedName>
    <definedName name="ExternalData_5" localSheetId="5" hidden="1">'Ternary Huffmann'!$M$2:$N$22</definedName>
    <definedName name="ExternalData_6" localSheetId="3" hidden="1">'Activity Selector Modded'!$Z$2:$AC$22</definedName>
    <definedName name="ExternalData_6" localSheetId="0" hidden="1">'Cut Rod'!$U$2:$W$22</definedName>
    <definedName name="ExternalData_6" localSheetId="4" hidden="1">Huffmann!$P$2:$Q$22</definedName>
    <definedName name="ExternalData_6" localSheetId="1" hidden="1">'Naive Cut Rod'!$P$2:$Q$22</definedName>
    <definedName name="ExternalData_6" localSheetId="5" hidden="1">'Ternary Huffmann'!$P$2:$Q$22</definedName>
    <definedName name="ExternalData_7" localSheetId="2" hidden="1">LCS!$A$2:$C$22</definedName>
    <definedName name="ExternalData_7" localSheetId="5" hidden="1">'Ternary Huffmann'!$A$2:$B$22</definedName>
    <definedName name="ExternalData_8" localSheetId="2" hidden="1">LCS!$E$2:$G$22</definedName>
    <definedName name="ExternalData_9" localSheetId="2" hidden="1">LCS!$I$2:$K$22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3" l="1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AA3" i="8"/>
  <c r="AB3" i="8"/>
  <c r="AA4" i="8"/>
  <c r="AB4" i="8"/>
  <c r="AA5" i="8"/>
  <c r="AB5" i="8"/>
  <c r="AA6" i="8"/>
  <c r="AB6" i="8"/>
  <c r="AA7" i="8"/>
  <c r="AB7" i="8"/>
  <c r="AA8" i="8"/>
  <c r="AB8" i="8"/>
  <c r="AA9" i="8"/>
  <c r="AB9" i="8"/>
  <c r="AA10" i="8"/>
  <c r="AB10" i="8"/>
  <c r="AA11" i="8"/>
  <c r="AB11" i="8"/>
  <c r="AA12" i="8"/>
  <c r="AB12" i="8"/>
  <c r="AA13" i="8"/>
  <c r="AB13" i="8"/>
  <c r="AA14" i="8"/>
  <c r="AB14" i="8"/>
  <c r="AA15" i="8"/>
  <c r="AB15" i="8"/>
  <c r="AA16" i="8"/>
  <c r="AB16" i="8"/>
  <c r="AA17" i="8"/>
  <c r="AB17" i="8"/>
  <c r="AA18" i="8"/>
  <c r="AB18" i="8"/>
  <c r="AA19" i="8"/>
  <c r="AB19" i="8"/>
  <c r="AA20" i="8"/>
  <c r="AB20" i="8"/>
  <c r="AA21" i="8"/>
  <c r="AB21" i="8"/>
  <c r="AA22" i="8"/>
  <c r="AB22" i="8"/>
  <c r="W3" i="14"/>
  <c r="W4" i="14"/>
  <c r="W5" i="14"/>
  <c r="W6" i="14"/>
  <c r="W7" i="14"/>
  <c r="W8" i="14"/>
  <c r="W9" i="14"/>
  <c r="W10" i="14"/>
  <c r="W11" i="14"/>
  <c r="W12" i="14"/>
  <c r="W13" i="14"/>
  <c r="W14" i="14"/>
  <c r="W15" i="14"/>
  <c r="W16" i="14"/>
  <c r="W17" i="14"/>
  <c r="W18" i="14"/>
  <c r="W19" i="14"/>
  <c r="W20" i="14"/>
  <c r="W21" i="14"/>
  <c r="W22" i="14"/>
  <c r="V4" i="14"/>
  <c r="V5" i="14"/>
  <c r="V6" i="14"/>
  <c r="V7" i="14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3" i="14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3" i="5"/>
  <c r="Q22" i="10"/>
  <c r="Q21" i="10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Q7" i="10"/>
  <c r="Q6" i="10"/>
  <c r="Q5" i="10"/>
  <c r="Q4" i="10"/>
  <c r="Q3" i="10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3" i="9"/>
  <c r="AC3" i="8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761814-2F64-4797-A628-832C94DAD917}" keepAlive="1" name="Query - activity_results" description="Connection to the 'activity_results' query in the workbook." type="5" refreshedVersion="8" background="1" saveData="1">
    <dbPr connection="Provider=Microsoft.Mashup.OleDb.1;Data Source=$Workbook$;Location=activity_results;Extended Properties=&quot;&quot;" command="SELECT * FROM [activity_results]"/>
  </connection>
  <connection id="2" xr16:uid="{4B7D7874-3AA7-45A7-A406-9763098AC28B}" keepAlive="1" name="Query - activity_results (2)" description="Connection to the 'activity_results (2)' query in the workbook." type="5" refreshedVersion="8" background="1" saveData="1">
    <dbPr connection="Provider=Microsoft.Mashup.OleDb.1;Data Source=$Workbook$;Location=&quot;activity_results (2)&quot;;Extended Properties=&quot;&quot;" command="SELECT * FROM [activity_results (2)]"/>
  </connection>
  <connection id="3" xr16:uid="{9DA4EDD7-AAF7-4780-8F5E-C3923F4F7FF2}" keepAlive="1" name="Query - activity_results (3)" description="Connection to the 'activity_results (3)' query in the workbook." type="5" refreshedVersion="8" background="1" saveData="1">
    <dbPr connection="Provider=Microsoft.Mashup.OleDb.1;Data Source=$Workbook$;Location=&quot;activity_results (3)&quot;;Extended Properties=&quot;&quot;" command="SELECT * FROM [activity_results (3)]"/>
  </connection>
  <connection id="4" xr16:uid="{09B7C262-3EC0-408F-8A54-E0D6D3CD88FF}" keepAlive="1" name="Query - activity_results (4)" description="Connection to the 'activity_results (4)' query in the workbook." type="5" refreshedVersion="8" background="1" saveData="1">
    <dbPr connection="Provider=Microsoft.Mashup.OleDb.1;Data Source=$Workbook$;Location=&quot;activity_results (4)&quot;;Extended Properties=&quot;&quot;" command="SELECT * FROM [activity_results (4)]"/>
  </connection>
  <connection id="5" xr16:uid="{6A992C99-3244-4372-8A2A-16BC1CB2383A}" keepAlive="1" name="Query - activity_results (5)" description="Connection to the 'activity_results (5)' query in the workbook." type="5" refreshedVersion="8" background="1" saveData="1">
    <dbPr connection="Provider=Microsoft.Mashup.OleDb.1;Data Source=$Workbook$;Location=&quot;activity_results (5)&quot;;Extended Properties=&quot;&quot;" command="SELECT * FROM [activity_results (5)]"/>
  </connection>
  <connection id="6" xr16:uid="{60C43FA8-5F72-4604-B1CB-2644534AA828}" keepAlive="1" name="Query - activity_results (6)" description="Connection to the 'activity_results (6)' query in the workbook." type="5" refreshedVersion="8" background="1" saveData="1">
    <dbPr connection="Provider=Microsoft.Mashup.OleDb.1;Data Source=$Workbook$;Location=&quot;activity_results (6)&quot;;Extended Properties=&quot;&quot;" command="SELECT * FROM [activity_results (6)]"/>
  </connection>
  <connection id="7" xr16:uid="{76798E37-34FC-4E3F-B94D-D7A1261756C3}" keepAlive="1" name="Query - activity_results_modded" description="Connection to the 'activity_results_modded' query in the workbook." type="5" refreshedVersion="8" background="1" saveData="1">
    <dbPr connection="Provider=Microsoft.Mashup.OleDb.1;Data Source=$Workbook$;Location=activity_results_modded;Extended Properties=&quot;&quot;" command="SELECT * FROM [activity_results_modded]"/>
  </connection>
  <connection id="8" xr16:uid="{B1B2F3C4-695F-4A11-8E0E-7E4798CDA500}" keepAlive="1" name="Query - activity_results_modded (2)" description="Connection to the 'activity_results_modded (2)' query in the workbook." type="5" refreshedVersion="8" background="1" saveData="1">
    <dbPr connection="Provider=Microsoft.Mashup.OleDb.1;Data Source=$Workbook$;Location=&quot;activity_results_modded (2)&quot;;Extended Properties=&quot;&quot;" command="SELECT * FROM [activity_results_modded (2)]"/>
  </connection>
  <connection id="9" xr16:uid="{60A3354F-B921-4527-87E3-BE29085EA473}" keepAlive="1" name="Query - activity_results_modded (3)" description="Connection to the 'activity_results_modded (3)' query in the workbook." type="5" refreshedVersion="8" background="1" saveData="1">
    <dbPr connection="Provider=Microsoft.Mashup.OleDb.1;Data Source=$Workbook$;Location=&quot;activity_results_modded (3)&quot;;Extended Properties=&quot;&quot;" command="SELECT * FROM [activity_results_modded (3)]"/>
  </connection>
  <connection id="10" xr16:uid="{D3A54FD3-D1ED-4A1B-B270-8C12218E6BC7}" keepAlive="1" name="Query - activity_results_modded (4)" description="Connection to the 'activity_results_modded (4)' query in the workbook." type="5" refreshedVersion="8" background="1" saveData="1">
    <dbPr connection="Provider=Microsoft.Mashup.OleDb.1;Data Source=$Workbook$;Location=&quot;activity_results_modded (4)&quot;;Extended Properties=&quot;&quot;" command="SELECT * FROM [activity_results_modded (4)]"/>
  </connection>
  <connection id="11" xr16:uid="{B5CA3403-A5CA-4C07-A09E-E3F948AD3567}" keepAlive="1" name="Query - activity_results_modded (5)" description="Connection to the 'activity_results_modded (5)' query in the workbook." type="5" refreshedVersion="8" background="1" saveData="1">
    <dbPr connection="Provider=Microsoft.Mashup.OleDb.1;Data Source=$Workbook$;Location=&quot;activity_results_modded (5)&quot;;Extended Properties=&quot;&quot;" command="SELECT * FROM [activity_results_modded (5)]"/>
  </connection>
  <connection id="12" xr16:uid="{966B4618-90C6-42F8-AD45-840DA398EB13}" keepAlive="1" name="Query - activity_results_modded (6)" description="Connection to the 'activity_results_modded (6)' query in the workbook." type="5" refreshedVersion="8" background="1" saveData="1">
    <dbPr connection="Provider=Microsoft.Mashup.OleDb.1;Data Source=$Workbook$;Location=&quot;activity_results_modded (6)&quot;;Extended Properties=&quot;&quot;" command="SELECT * FROM [activity_results_modded (6)]"/>
  </connection>
  <connection id="13" xr16:uid="{A76DF260-7A07-4719-BD74-AA5200A0CC11}" keepAlive="1" name="Query - dp_cut_rod_results" description="Connection to the 'dp_cut_rod_results' query in the workbook." type="5" refreshedVersion="8" background="1" saveData="1">
    <dbPr connection="Provider=Microsoft.Mashup.OleDb.1;Data Source=$Workbook$;Location=dp_cut_rod_results;Extended Properties=&quot;&quot;" command="SELECT * FROM [dp_cut_rod_results]"/>
  </connection>
  <connection id="14" xr16:uid="{E39894BF-6222-4565-9BAF-4EF9F6E54386}" keepAlive="1" name="Query - dp_cut_rod_results (2)" description="Connection to the 'dp_cut_rod_results (2)' query in the workbook." type="5" refreshedVersion="8" background="1" saveData="1">
    <dbPr connection="Provider=Microsoft.Mashup.OleDb.1;Data Source=$Workbook$;Location=&quot;dp_cut_rod_results (2)&quot;;Extended Properties=&quot;&quot;" command="SELECT * FROM [dp_cut_rod_results (2)]"/>
  </connection>
  <connection id="15" xr16:uid="{2576B833-23C2-4E48-8721-D770B5B286ED}" keepAlive="1" name="Query - dp_cut_rod_results (3)" description="Connection to the 'dp_cut_rod_results (3)' query in the workbook." type="5" refreshedVersion="8" background="1" saveData="1">
    <dbPr connection="Provider=Microsoft.Mashup.OleDb.1;Data Source=$Workbook$;Location=&quot;dp_cut_rod_results (3)&quot;;Extended Properties=&quot;&quot;" command="SELECT * FROM [dp_cut_rod_results (3)]"/>
  </connection>
  <connection id="16" xr16:uid="{AF2825E3-BCE8-4986-BEC4-D6D84E75F573}" keepAlive="1" name="Query - dp_cut_rod_results (4)" description="Connection to the 'dp_cut_rod_results (4)' query in the workbook." type="5" refreshedVersion="8" background="1" saveData="1">
    <dbPr connection="Provider=Microsoft.Mashup.OleDb.1;Data Source=$Workbook$;Location=&quot;dp_cut_rod_results (4)&quot;;Extended Properties=&quot;&quot;" command="SELECT * FROM [dp_cut_rod_results (4)]"/>
  </connection>
  <connection id="17" xr16:uid="{8BB5EFD8-67A1-4678-B635-FB7019B25024}" keepAlive="1" name="Query - dp_cut_rod_results (5)" description="Connection to the 'dp_cut_rod_results (5)' query in the workbook." type="5" refreshedVersion="8" background="1" saveData="1">
    <dbPr connection="Provider=Microsoft.Mashup.OleDb.1;Data Source=$Workbook$;Location=&quot;dp_cut_rod_results (5)&quot;;Extended Properties=&quot;&quot;" command="SELECT * FROM [dp_cut_rod_results (5)]"/>
  </connection>
  <connection id="18" xr16:uid="{53400530-7A68-476E-8FA3-58D05349ABD3}" keepAlive="1" name="Query - dp_cut_rod_results (6)" description="Connection to the 'dp_cut_rod_results (6)' query in the workbook." type="5" refreshedVersion="8" background="1" saveData="1">
    <dbPr connection="Provider=Microsoft.Mashup.OleDb.1;Data Source=$Workbook$;Location=&quot;dp_cut_rod_results (6)&quot;;Extended Properties=&quot;&quot;" command="SELECT * FROM [dp_cut_rod_results (6)]"/>
  </connection>
  <connection id="19" xr16:uid="{0E7F9F26-5254-410A-B14C-F1B14C7433FA}" keepAlive="1" name="Query - huffman_results" description="Connection to the 'huffman_results' query in the workbook." type="5" refreshedVersion="8" background="1" saveData="1">
    <dbPr connection="Provider=Microsoft.Mashup.OleDb.1;Data Source=$Workbook$;Location=huffman_results;Extended Properties=&quot;&quot;" command="SELECT * FROM [huffman_results]"/>
  </connection>
  <connection id="20" xr16:uid="{D4D7D1EB-C78D-4F5D-8E60-AAC18D9DF3E0}" keepAlive="1" name="Query - huffman_results (10)" description="Connection to the 'huffman_results (10)' query in the workbook." type="5" refreshedVersion="8" background="1" saveData="1">
    <dbPr connection="Provider=Microsoft.Mashup.OleDb.1;Data Source=$Workbook$;Location=&quot;huffman_results (10)&quot;;Extended Properties=&quot;&quot;" command="SELECT * FROM [huffman_results (10)]"/>
  </connection>
  <connection id="21" xr16:uid="{08A87F9B-54E4-4158-A3C9-6236C88B198E}" keepAlive="1" name="Query - huffman_results (11)" description="Connection to the 'huffman_results (11)' query in the workbook." type="5" refreshedVersion="8" background="1" saveData="1">
    <dbPr connection="Provider=Microsoft.Mashup.OleDb.1;Data Source=$Workbook$;Location=&quot;huffman_results (11)&quot;;Extended Properties=&quot;&quot;" command="SELECT * FROM [huffman_results (11)]"/>
  </connection>
  <connection id="22" xr16:uid="{B4BCE730-647E-4781-8BB2-45263B40CA52}" keepAlive="1" name="Query - huffman_results (12)" description="Connection to the 'huffman_results (12)' query in the workbook." type="5" refreshedVersion="8" background="1" saveData="1">
    <dbPr connection="Provider=Microsoft.Mashup.OleDb.1;Data Source=$Workbook$;Location=&quot;huffman_results (12)&quot;;Extended Properties=&quot;&quot;" command="SELECT * FROM [huffman_results (12)]"/>
  </connection>
  <connection id="23" xr16:uid="{2D722287-350A-455E-B070-C516F16B848A}" keepAlive="1" name="Query - huffman_results (2)" description="Connection to the 'huffman_results (2)' query in the workbook." type="5" refreshedVersion="8" background="1" saveData="1">
    <dbPr connection="Provider=Microsoft.Mashup.OleDb.1;Data Source=$Workbook$;Location=&quot;huffman_results (2)&quot;;Extended Properties=&quot;&quot;" command="SELECT * FROM [huffman_results (2)]"/>
  </connection>
  <connection id="24" xr16:uid="{0DE9107B-F2E7-426D-88A2-2D7178F2252F}" keepAlive="1" name="Query - huffman_results (3)" description="Connection to the 'huffman_results (3)' query in the workbook." type="5" refreshedVersion="8" background="1" saveData="1">
    <dbPr connection="Provider=Microsoft.Mashup.OleDb.1;Data Source=$Workbook$;Location=&quot;huffman_results (3)&quot;;Extended Properties=&quot;&quot;" command="SELECT * FROM [huffman_results (3)]"/>
  </connection>
  <connection id="25" xr16:uid="{5BCFF6E7-2BDE-4BAD-9DB9-559220D81550}" keepAlive="1" name="Query - huffman_results (4)" description="Connection to the 'huffman_results (4)' query in the workbook." type="5" refreshedVersion="8" background="1" saveData="1">
    <dbPr connection="Provider=Microsoft.Mashup.OleDb.1;Data Source=$Workbook$;Location=&quot;huffman_results (4)&quot;;Extended Properties=&quot;&quot;" command="SELECT * FROM [huffman_results (4)]"/>
  </connection>
  <connection id="26" xr16:uid="{1E6C0EC6-2452-4013-B610-0EC98C169AE2}" keepAlive="1" name="Query - huffman_results (5)" description="Connection to the 'huffman_results (5)' query in the workbook." type="5" refreshedVersion="8" background="1" saveData="1">
    <dbPr connection="Provider=Microsoft.Mashup.OleDb.1;Data Source=$Workbook$;Location=&quot;huffman_results (5)&quot;;Extended Properties=&quot;&quot;" command="SELECT * FROM [huffman_results (5)]"/>
  </connection>
  <connection id="27" xr16:uid="{7FCA1EF9-4175-40E0-877F-08F8EB563CB4}" keepAlive="1" name="Query - huffman_results (6)" description="Connection to the 'huffman_results (6)' query in the workbook." type="5" refreshedVersion="8" background="1" saveData="1">
    <dbPr connection="Provider=Microsoft.Mashup.OleDb.1;Data Source=$Workbook$;Location=&quot;huffman_results (6)&quot;;Extended Properties=&quot;&quot;" command="SELECT * FROM [huffman_results (6)]"/>
  </connection>
  <connection id="28" xr16:uid="{90CF92D0-4AB9-45E8-8B54-62F34FE74511}" keepAlive="1" name="Query - huffman_results (7)" description="Connection to the 'huffman_results (7)' query in the workbook." type="5" refreshedVersion="8" background="1" saveData="1">
    <dbPr connection="Provider=Microsoft.Mashup.OleDb.1;Data Source=$Workbook$;Location=&quot;huffman_results (7)&quot;;Extended Properties=&quot;&quot;" command="SELECT * FROM [huffman_results (7)]"/>
  </connection>
  <connection id="29" xr16:uid="{EE34445C-D01F-424A-B969-4DBC1C098E9D}" keepAlive="1" name="Query - huffman_results (8)" description="Connection to the 'huffman_results (8)' query in the workbook." type="5" refreshedVersion="8" background="1" saveData="1">
    <dbPr connection="Provider=Microsoft.Mashup.OleDb.1;Data Source=$Workbook$;Location=&quot;huffman_results (8)&quot;;Extended Properties=&quot;&quot;" command="SELECT * FROM [huffman_results (8)]"/>
  </connection>
  <connection id="30" xr16:uid="{C547DFE6-1AE0-4E14-8A2E-0F30A97A5E51}" keepAlive="1" name="Query - huffman_results (9)" description="Connection to the 'huffman_results (9)' query in the workbook." type="5" refreshedVersion="8" background="1" saveData="1">
    <dbPr connection="Provider=Microsoft.Mashup.OleDb.1;Data Source=$Workbook$;Location=&quot;huffman_results (9)&quot;;Extended Properties=&quot;&quot;" command="SELECT * FROM [huffman_results (9)]"/>
  </connection>
  <connection id="31" xr16:uid="{E5266D2E-C3C0-4CED-A132-628797A8E1AE}" keepAlive="1" name="Query - lcs_results" description="Connection to the 'lcs_results' query in the workbook." type="5" refreshedVersion="8" background="1" saveData="1">
    <dbPr connection="Provider=Microsoft.Mashup.OleDb.1;Data Source=$Workbook$;Location=lcs_results;Extended Properties=&quot;&quot;" command="SELECT * FROM [lcs_results]"/>
  </connection>
  <connection id="32" xr16:uid="{82D0FDAD-1657-43B4-B4AA-2BDE42F8DE3B}" keepAlive="1" name="Query - lcs_results (10)" description="Connection to the 'lcs_results (10)' query in the workbook." type="5" refreshedVersion="8" background="1" saveData="1">
    <dbPr connection="Provider=Microsoft.Mashup.OleDb.1;Data Source=$Workbook$;Location=&quot;lcs_results (10)&quot;;Extended Properties=&quot;&quot;" command="SELECT * FROM [lcs_results (10)]"/>
  </connection>
  <connection id="33" xr16:uid="{E92E6B24-791A-4B5A-897C-B15124AD78FD}" keepAlive="1" name="Query - lcs_results (11)" description="Connection to the 'lcs_results (11)' query in the workbook." type="5" refreshedVersion="8" background="1" saveData="1">
    <dbPr connection="Provider=Microsoft.Mashup.OleDb.1;Data Source=$Workbook$;Location=&quot;lcs_results (11)&quot;;Extended Properties=&quot;&quot;" command="SELECT * FROM [lcs_results (11)]"/>
  </connection>
  <connection id="34" xr16:uid="{D6523C58-7CBE-4C28-8D71-88D92888B9B6}" keepAlive="1" name="Query - lcs_results (12)" description="Connection to the 'lcs_results (12)' query in the workbook." type="5" refreshedVersion="8" background="1" saveData="1">
    <dbPr connection="Provider=Microsoft.Mashup.OleDb.1;Data Source=$Workbook$;Location=&quot;lcs_results (12)&quot;;Extended Properties=&quot;&quot;" command="SELECT * FROM [lcs_results (12)]"/>
  </connection>
  <connection id="35" xr16:uid="{46EC8941-30EF-40D2-BE38-DDE9F2FB9AE5}" keepAlive="1" name="Query - lcs_results (13)" description="Connection to the 'lcs_results (13)' query in the workbook." type="5" refreshedVersion="8" background="1" saveData="1">
    <dbPr connection="Provider=Microsoft.Mashup.OleDb.1;Data Source=$Workbook$;Location=&quot;lcs_results (13)&quot;;Extended Properties=&quot;&quot;" command="SELECT * FROM [lcs_results (13)]"/>
  </connection>
  <connection id="36" xr16:uid="{E80A304B-875E-415A-8D2B-79B85B0A8E73}" keepAlive="1" name="Query - lcs_results (2)" description="Connection to the 'lcs_results (2)' query in the workbook." type="5" refreshedVersion="8" background="1" saveData="1">
    <dbPr connection="Provider=Microsoft.Mashup.OleDb.1;Data Source=$Workbook$;Location=&quot;lcs_results (2)&quot;;Extended Properties=&quot;&quot;" command="SELECT * FROM [lcs_results (2)]"/>
  </connection>
  <connection id="37" xr16:uid="{1E8496CF-F8DC-4E29-8799-2686BD864CC3}" keepAlive="1" name="Query - lcs_results (3)" description="Connection to the 'lcs_results (3)' query in the workbook." type="5" refreshedVersion="8" background="1" saveData="1">
    <dbPr connection="Provider=Microsoft.Mashup.OleDb.1;Data Source=$Workbook$;Location=&quot;lcs_results (3)&quot;;Extended Properties=&quot;&quot;" command="SELECT * FROM [lcs_results (3)]"/>
  </connection>
  <connection id="38" xr16:uid="{BABBB707-4FC6-48ED-973F-55EC25933F92}" keepAlive="1" name="Query - lcs_results (4)" description="Connection to the 'lcs_results (4)' query in the workbook." type="5" refreshedVersion="8" background="1" saveData="1">
    <dbPr connection="Provider=Microsoft.Mashup.OleDb.1;Data Source=$Workbook$;Location=&quot;lcs_results (4)&quot;;Extended Properties=&quot;&quot;" command="SELECT * FROM [lcs_results (4)]"/>
  </connection>
  <connection id="39" xr16:uid="{340472DF-9E78-410E-9DAB-C2B31B30E393}" keepAlive="1" name="Query - lcs_results (5)" description="Connection to the 'lcs_results (5)' query in the workbook." type="5" refreshedVersion="8" background="1" saveData="1">
    <dbPr connection="Provider=Microsoft.Mashup.OleDb.1;Data Source=$Workbook$;Location=&quot;lcs_results (5)&quot;;Extended Properties=&quot;&quot;" command="SELECT * FROM [lcs_results (5)]"/>
  </connection>
  <connection id="40" xr16:uid="{58F4F055-F4C3-4506-B759-AC1D8C397087}" keepAlive="1" name="Query - lcs_results (6)" description="Connection to the 'lcs_results (6)' query in the workbook." type="5" refreshedVersion="8" background="1" saveData="1">
    <dbPr connection="Provider=Microsoft.Mashup.OleDb.1;Data Source=$Workbook$;Location=&quot;lcs_results (6)&quot;;Extended Properties=&quot;&quot;" command="SELECT * FROM [lcs_results (6)]"/>
  </connection>
  <connection id="41" xr16:uid="{C00679C1-F542-426B-A964-5C2A41370D62}" keepAlive="1" name="Query - lcs_results (7)" description="Connection to the 'lcs_results (7)' query in the workbook." type="5" refreshedVersion="0" background="1">
    <dbPr connection="Provider=Microsoft.Mashup.OleDb.1;Data Source=$Workbook$;Location=&quot;lcs_results (7)&quot;;Extended Properties=&quot;&quot;" command="SELECT * FROM [lcs_results (7)]"/>
  </connection>
  <connection id="42" xr16:uid="{2A2D790B-83E7-4A2C-87BD-94D5C306744C}" keepAlive="1" name="Query - lcs_results (8)" description="Connection to the 'lcs_results (8)' query in the workbook." type="5" refreshedVersion="8" background="1" saveData="1">
    <dbPr connection="Provider=Microsoft.Mashup.OleDb.1;Data Source=$Workbook$;Location=&quot;lcs_results (8)&quot;;Extended Properties=&quot;&quot;" command="SELECT * FROM [lcs_results (8)]"/>
  </connection>
  <connection id="43" xr16:uid="{81BE56CE-CC8B-4626-BB7A-AC55329D6BDF}" keepAlive="1" name="Query - lcs_results (9)" description="Connection to the 'lcs_results (9)' query in the workbook." type="5" refreshedVersion="8" background="1" saveData="1">
    <dbPr connection="Provider=Microsoft.Mashup.OleDb.1;Data Source=$Workbook$;Location=&quot;lcs_results (9)&quot;;Extended Properties=&quot;&quot;" command="SELECT * FROM [lcs_results (9)]"/>
  </connection>
  <connection id="44" xr16:uid="{DD31FD2C-F19B-474E-985A-879F6C3BC7B3}" keepAlive="1" name="Query - naive_cut_rod_results" description="Connection to the 'naive_cut_rod_results' query in the workbook." type="5" refreshedVersion="8" background="1" saveData="1">
    <dbPr connection="Provider=Microsoft.Mashup.OleDb.1;Data Source=$Workbook$;Location=naive_cut_rod_results;Extended Properties=&quot;&quot;" command="SELECT * FROM [naive_cut_rod_results]"/>
  </connection>
  <connection id="45" xr16:uid="{E33E6F03-1B15-4C9B-B3E7-7EA1D67AC59E}" keepAlive="1" name="Query - naive_cut_rod_results (2)" description="Connection to the 'naive_cut_rod_results (2)' query in the workbook." type="5" refreshedVersion="8" background="1" saveData="1">
    <dbPr connection="Provider=Microsoft.Mashup.OleDb.1;Data Source=$Workbook$;Location=&quot;naive_cut_rod_results (2)&quot;;Extended Properties=&quot;&quot;" command="SELECT * FROM [naive_cut_rod_results (2)]"/>
  </connection>
  <connection id="46" xr16:uid="{EA24FB23-F6F8-4347-B58C-371F52C38A1A}" keepAlive="1" name="Query - naive_cut_rod_results (3)" description="Connection to the 'naive_cut_rod_results (3)' query in the workbook." type="5" refreshedVersion="8" background="1" saveData="1">
    <dbPr connection="Provider=Microsoft.Mashup.OleDb.1;Data Source=$Workbook$;Location=&quot;naive_cut_rod_results (3)&quot;;Extended Properties=&quot;&quot;" command="SELECT * FROM [naive_cut_rod_results (3)]"/>
  </connection>
  <connection id="47" xr16:uid="{ADB11234-5669-41B3-AD48-CE3F6E905CA9}" keepAlive="1" name="Query - naive_cut_rod_results (4)" description="Connection to the 'naive_cut_rod_results (4)' query in the workbook." type="5" refreshedVersion="8" background="1" saveData="1">
    <dbPr connection="Provider=Microsoft.Mashup.OleDb.1;Data Source=$Workbook$;Location=&quot;naive_cut_rod_results (4)&quot;;Extended Properties=&quot;&quot;" command="SELECT * FROM [naive_cut_rod_results (4)]"/>
  </connection>
  <connection id="48" xr16:uid="{0B6B8AD5-BD36-47F9-A671-F25A30A0C3D5}" keepAlive="1" name="Query - naive_cut_rod_results (5)" description="Connection to the 'naive_cut_rod_results (5)' query in the workbook." type="5" refreshedVersion="8" background="1" saveData="1">
    <dbPr connection="Provider=Microsoft.Mashup.OleDb.1;Data Source=$Workbook$;Location=&quot;naive_cut_rod_results (5)&quot;;Extended Properties=&quot;&quot;" command="SELECT * FROM [naive_cut_rod_results (5)]"/>
  </connection>
  <connection id="49" xr16:uid="{8C2E6F85-4B27-4BAC-B836-CFC80A16823D}" keepAlive="1" name="Query - naive_cut_rod_results (6)" description="Connection to the 'naive_cut_rod_results (6)' query in the workbook." type="5" refreshedVersion="0" background="1">
    <dbPr connection="Provider=Microsoft.Mashup.OleDb.1;Data Source=$Workbook$;Location=&quot;naive_cut_rod_results (6)&quot;;Extended Properties=&quot;&quot;" command="SELECT * FROM [naive_cut_rod_results (6)]"/>
  </connection>
  <connection id="50" xr16:uid="{DB1C6F61-F90D-4BCB-8840-B7EE5E18EA19}" keepAlive="1" name="Query - naive_cut_rod_results (7)" description="Connection to the 'naive_cut_rod_results (7)' query in the workbook." type="5" refreshedVersion="8" background="1" saveData="1">
    <dbPr connection="Provider=Microsoft.Mashup.OleDb.1;Data Source=$Workbook$;Location=&quot;naive_cut_rod_results (7)&quot;;Extended Properties=&quot;&quot;" command="SELECT * FROM [naive_cut_rod_results (7)]"/>
  </connection>
  <connection id="51" xr16:uid="{AA43F39A-9D02-4B34-8FC1-9475F54FE377}" keepAlive="1" name="Query - ternary_huffman_results" description="Connection to the 'ternary_huffman_results' query in the workbook." type="5" refreshedVersion="0" background="1">
    <dbPr connection="Provider=Microsoft.Mashup.OleDb.1;Data Source=$Workbook$;Location=ternary_huffman_results;Extended Properties=&quot;&quot;" command="SELECT * FROM [ternary_huffman_results]"/>
  </connection>
</connections>
</file>

<file path=xl/sharedStrings.xml><?xml version="1.0" encoding="utf-8"?>
<sst xmlns="http://schemas.openxmlformats.org/spreadsheetml/2006/main" count="117" uniqueCount="28">
  <si>
    <t>length</t>
  </si>
  <si>
    <t>memo_time</t>
  </si>
  <si>
    <t>bottom_up_time</t>
  </si>
  <si>
    <t>Column2</t>
  </si>
  <si>
    <t>Column3</t>
  </si>
  <si>
    <t>Test 1</t>
  </si>
  <si>
    <t>Test2</t>
  </si>
  <si>
    <t>Test 3</t>
  </si>
  <si>
    <t>Test 4</t>
  </si>
  <si>
    <t>Test 5</t>
  </si>
  <si>
    <t>Średnia</t>
  </si>
  <si>
    <t>naive_time</t>
  </si>
  <si>
    <t>21183</t>
  </si>
  <si>
    <t>2912</t>
  </si>
  <si>
    <t>15192</t>
  </si>
  <si>
    <t>13224</t>
  </si>
  <si>
    <t>15000</t>
  </si>
  <si>
    <t>20986</t>
  </si>
  <si>
    <t>23281</t>
  </si>
  <si>
    <t>13052</t>
  </si>
  <si>
    <t>recursive</t>
  </si>
  <si>
    <t>iterative</t>
  </si>
  <si>
    <t>dp</t>
  </si>
  <si>
    <t>n</t>
  </si>
  <si>
    <t>!</t>
  </si>
  <si>
    <t>iterative_time</t>
  </si>
  <si>
    <t>recursive_time</t>
  </si>
  <si>
    <t>3962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</si>
</sst>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Alignment="1"/>
  </cellXfs>
  <cellStyles count="1">
    <cellStyle name="Normal" xfId="0" builtinId="0"/>
  </cellStyles>
  <dxfs count="6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Zależność czasu </a:t>
            </a:r>
            <a:r>
              <a:rPr lang="pl-PL"/>
              <a:t>memorized</a:t>
            </a:r>
            <a:r>
              <a:rPr lang="en-US"/>
              <a:t> od długości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Zależność czasu wykonywania od długości 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'Cut Rod'!$U$3:$U$22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'Cut Rod'!$V$3:$V$22</c:f>
              <c:numCache>
                <c:formatCode>0.00</c:formatCode>
                <c:ptCount val="20"/>
                <c:pt idx="0">
                  <c:v>2.3799999999999998E-2</c:v>
                </c:pt>
                <c:pt idx="1">
                  <c:v>6.5799999999999997E-2</c:v>
                </c:pt>
                <c:pt idx="2">
                  <c:v>0.12</c:v>
                </c:pt>
                <c:pt idx="3">
                  <c:v>0.16360000000000002</c:v>
                </c:pt>
                <c:pt idx="4">
                  <c:v>0.21140000000000003</c:v>
                </c:pt>
                <c:pt idx="5">
                  <c:v>0.22359999999999997</c:v>
                </c:pt>
                <c:pt idx="6">
                  <c:v>0.31440000000000001</c:v>
                </c:pt>
                <c:pt idx="7">
                  <c:v>0.32219999999999999</c:v>
                </c:pt>
                <c:pt idx="8">
                  <c:v>0.4506</c:v>
                </c:pt>
                <c:pt idx="9">
                  <c:v>0.46300000000000008</c:v>
                </c:pt>
                <c:pt idx="10">
                  <c:v>0.48719999999999997</c:v>
                </c:pt>
                <c:pt idx="11">
                  <c:v>0.65060000000000007</c:v>
                </c:pt>
                <c:pt idx="12">
                  <c:v>0.67200000000000004</c:v>
                </c:pt>
                <c:pt idx="13">
                  <c:v>0.72499999999999998</c:v>
                </c:pt>
                <c:pt idx="14">
                  <c:v>0.80700000000000005</c:v>
                </c:pt>
                <c:pt idx="15">
                  <c:v>0.96939999999999993</c:v>
                </c:pt>
                <c:pt idx="16">
                  <c:v>0.97020000000000017</c:v>
                </c:pt>
                <c:pt idx="17">
                  <c:v>0.98640000000000005</c:v>
                </c:pt>
                <c:pt idx="18">
                  <c:v>0.95320000000000005</c:v>
                </c:pt>
                <c:pt idx="19">
                  <c:v>0.9304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40-4BF7-BFE9-1327EB13F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006527"/>
        <c:axId val="540391247"/>
      </c:scatterChart>
      <c:valAx>
        <c:axId val="1885006527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Długość</a:t>
                </a:r>
                <a:r>
                  <a:rPr lang="pl-PL" baseline="0"/>
                  <a:t> pręta n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40391247"/>
        <c:crosses val="autoZero"/>
        <c:crossBetween val="midCat"/>
      </c:valAx>
      <c:valAx>
        <c:axId val="5403912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wykonywania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500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Zależność czasu </a:t>
            </a:r>
            <a:r>
              <a:rPr lang="pl-PL"/>
              <a:t>bottom-up</a:t>
            </a:r>
            <a:r>
              <a:rPr lang="en-US"/>
              <a:t> od długości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1"/>
          <c:tx>
            <c:strRef>
              <c:f>'Cut Rod'!$W$2</c:f>
              <c:strCache>
                <c:ptCount val="1"/>
                <c:pt idx="0">
                  <c:v>bottom_up_time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'Cut Rod'!$U$3:$U$22</c:f>
              <c:numCache>
                <c:formatCode>General</c:formatCode>
                <c:ptCount val="2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</c:numCache>
            </c:numRef>
          </c:xVal>
          <c:yVal>
            <c:numRef>
              <c:f>'Cut Rod'!$W$3:$W$22</c:f>
              <c:numCache>
                <c:formatCode>0.00</c:formatCode>
                <c:ptCount val="20"/>
                <c:pt idx="0">
                  <c:v>2.3E-2</c:v>
                </c:pt>
                <c:pt idx="1">
                  <c:v>6.9199999999999998E-2</c:v>
                </c:pt>
                <c:pt idx="2">
                  <c:v>0.15379999999999999</c:v>
                </c:pt>
                <c:pt idx="3">
                  <c:v>0.25680000000000003</c:v>
                </c:pt>
                <c:pt idx="4">
                  <c:v>0.37439999999999996</c:v>
                </c:pt>
                <c:pt idx="5">
                  <c:v>0.46379999999999999</c:v>
                </c:pt>
                <c:pt idx="6">
                  <c:v>0.6846000000000001</c:v>
                </c:pt>
                <c:pt idx="7">
                  <c:v>0.90739999999999998</c:v>
                </c:pt>
                <c:pt idx="8">
                  <c:v>1.2490000000000001</c:v>
                </c:pt>
                <c:pt idx="9">
                  <c:v>1.2845999999999997</c:v>
                </c:pt>
                <c:pt idx="10">
                  <c:v>1.6468</c:v>
                </c:pt>
                <c:pt idx="11">
                  <c:v>2.0907999999999998</c:v>
                </c:pt>
                <c:pt idx="12">
                  <c:v>2.2342</c:v>
                </c:pt>
                <c:pt idx="13">
                  <c:v>2.5776000000000003</c:v>
                </c:pt>
                <c:pt idx="14">
                  <c:v>3.1905999999999999</c:v>
                </c:pt>
                <c:pt idx="15">
                  <c:v>3.4945999999999997</c:v>
                </c:pt>
                <c:pt idx="16">
                  <c:v>3.9628000000000001</c:v>
                </c:pt>
                <c:pt idx="17">
                  <c:v>4.1466000000000003</c:v>
                </c:pt>
                <c:pt idx="18">
                  <c:v>4.6567999999999996</c:v>
                </c:pt>
                <c:pt idx="19">
                  <c:v>5.3029999999999999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55-4484-BF40-BFEE0E7F2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006527"/>
        <c:axId val="54039124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'Cut Rod'!$V$2</c15:sqref>
                        </c15:formulaRef>
                      </c:ext>
                    </c:extLst>
                    <c:strCache>
                      <c:ptCount val="1"/>
                      <c:pt idx="0">
                        <c:v>memo_time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'Cut Rod'!$U$3:$U$22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100</c:v>
                      </c:pt>
                      <c:pt idx="1">
                        <c:v>200</c:v>
                      </c:pt>
                      <c:pt idx="2">
                        <c:v>300</c:v>
                      </c:pt>
                      <c:pt idx="3">
                        <c:v>400</c:v>
                      </c:pt>
                      <c:pt idx="4">
                        <c:v>500</c:v>
                      </c:pt>
                      <c:pt idx="5">
                        <c:v>600</c:v>
                      </c:pt>
                      <c:pt idx="6">
                        <c:v>700</c:v>
                      </c:pt>
                      <c:pt idx="7">
                        <c:v>800</c:v>
                      </c:pt>
                      <c:pt idx="8">
                        <c:v>900</c:v>
                      </c:pt>
                      <c:pt idx="9">
                        <c:v>1000</c:v>
                      </c:pt>
                      <c:pt idx="10">
                        <c:v>1100</c:v>
                      </c:pt>
                      <c:pt idx="11">
                        <c:v>1200</c:v>
                      </c:pt>
                      <c:pt idx="12">
                        <c:v>1300</c:v>
                      </c:pt>
                      <c:pt idx="13">
                        <c:v>1400</c:v>
                      </c:pt>
                      <c:pt idx="14">
                        <c:v>1500</c:v>
                      </c:pt>
                      <c:pt idx="15">
                        <c:v>1600</c:v>
                      </c:pt>
                      <c:pt idx="16">
                        <c:v>1700</c:v>
                      </c:pt>
                      <c:pt idx="17">
                        <c:v>1800</c:v>
                      </c:pt>
                      <c:pt idx="18">
                        <c:v>1900</c:v>
                      </c:pt>
                      <c:pt idx="19">
                        <c:v>2000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'Cut Rod'!$V$3:$V$22</c15:sqref>
                        </c15:formulaRef>
                      </c:ext>
                    </c:extLst>
                    <c:numCache>
                      <c:formatCode>0.00</c:formatCode>
                      <c:ptCount val="20"/>
                      <c:pt idx="0">
                        <c:v>2.3799999999999998E-2</c:v>
                      </c:pt>
                      <c:pt idx="1">
                        <c:v>6.5799999999999997E-2</c:v>
                      </c:pt>
                      <c:pt idx="2">
                        <c:v>0.12</c:v>
                      </c:pt>
                      <c:pt idx="3">
                        <c:v>0.16360000000000002</c:v>
                      </c:pt>
                      <c:pt idx="4">
                        <c:v>0.21140000000000003</c:v>
                      </c:pt>
                      <c:pt idx="5">
                        <c:v>0.22359999999999997</c:v>
                      </c:pt>
                      <c:pt idx="6">
                        <c:v>0.31440000000000001</c:v>
                      </c:pt>
                      <c:pt idx="7">
                        <c:v>0.32219999999999999</c:v>
                      </c:pt>
                      <c:pt idx="8">
                        <c:v>0.4506</c:v>
                      </c:pt>
                      <c:pt idx="9">
                        <c:v>0.46300000000000008</c:v>
                      </c:pt>
                      <c:pt idx="10">
                        <c:v>0.48719999999999997</c:v>
                      </c:pt>
                      <c:pt idx="11">
                        <c:v>0.65060000000000007</c:v>
                      </c:pt>
                      <c:pt idx="12">
                        <c:v>0.67200000000000004</c:v>
                      </c:pt>
                      <c:pt idx="13">
                        <c:v>0.72499999999999998</c:v>
                      </c:pt>
                      <c:pt idx="14">
                        <c:v>0.80700000000000005</c:v>
                      </c:pt>
                      <c:pt idx="15">
                        <c:v>0.96939999999999993</c:v>
                      </c:pt>
                      <c:pt idx="16">
                        <c:v>0.97020000000000017</c:v>
                      </c:pt>
                      <c:pt idx="17">
                        <c:v>0.98640000000000005</c:v>
                      </c:pt>
                      <c:pt idx="18">
                        <c:v>0.95320000000000005</c:v>
                      </c:pt>
                      <c:pt idx="19">
                        <c:v>0.9304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AD55-4484-BF40-BFEE0E7F2AE9}"/>
                  </c:ext>
                </c:extLst>
              </c15:ser>
            </c15:filteredScatterSeries>
          </c:ext>
        </c:extLst>
      </c:scatterChart>
      <c:valAx>
        <c:axId val="1885006527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Długość</a:t>
                </a:r>
                <a:r>
                  <a:rPr lang="pl-PL" baseline="0"/>
                  <a:t> pręta n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40391247"/>
        <c:crosses val="autoZero"/>
        <c:crossBetween val="midCat"/>
      </c:valAx>
      <c:valAx>
        <c:axId val="5403912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wykonywania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500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Zależność czasu </a:t>
            </a:r>
            <a:r>
              <a:rPr lang="pl-PL"/>
              <a:t>naive</a:t>
            </a:r>
            <a:r>
              <a:rPr lang="en-US"/>
              <a:t> od długości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'Naive Cut Rod'!$P$3:$P$22</c:f>
              <c:numCache>
                <c:formatCode>General</c:formatCode>
                <c:ptCount val="2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</c:numCache>
            </c:numRef>
          </c:xVal>
          <c:yVal>
            <c:numRef>
              <c:f>'Naive Cut Rod'!$Q$3:$Q$22</c:f>
              <c:numCache>
                <c:formatCode>General</c:formatCode>
                <c:ptCount val="20"/>
                <c:pt idx="0">
                  <c:v>9.6000000000000009E-3</c:v>
                </c:pt>
                <c:pt idx="1">
                  <c:v>1.6199999999999999E-2</c:v>
                </c:pt>
                <c:pt idx="2">
                  <c:v>2.4400000000000002E-2</c:v>
                </c:pt>
                <c:pt idx="3">
                  <c:v>6.2E-2</c:v>
                </c:pt>
                <c:pt idx="4">
                  <c:v>0.1278</c:v>
                </c:pt>
                <c:pt idx="5">
                  <c:v>0.22879999999999998</c:v>
                </c:pt>
                <c:pt idx="6">
                  <c:v>0.45579999999999998</c:v>
                </c:pt>
                <c:pt idx="7">
                  <c:v>1.1021999999999998</c:v>
                </c:pt>
                <c:pt idx="8">
                  <c:v>1.8897999999999999</c:v>
                </c:pt>
                <c:pt idx="9">
                  <c:v>3.7414000000000001</c:v>
                </c:pt>
                <c:pt idx="10">
                  <c:v>7.293000000000001</c:v>
                </c:pt>
                <c:pt idx="11">
                  <c:v>14.758599999999998</c:v>
                </c:pt>
                <c:pt idx="12">
                  <c:v>27.111599999999999</c:v>
                </c:pt>
                <c:pt idx="13">
                  <c:v>48.997999999999998</c:v>
                </c:pt>
                <c:pt idx="14">
                  <c:v>96.623599999999982</c:v>
                </c:pt>
                <c:pt idx="15">
                  <c:v>200.15479999999999</c:v>
                </c:pt>
                <c:pt idx="16">
                  <c:v>384.38159999999999</c:v>
                </c:pt>
                <c:pt idx="17">
                  <c:v>761.45280000000002</c:v>
                </c:pt>
                <c:pt idx="18">
                  <c:v>1472.9240000000002</c:v>
                </c:pt>
                <c:pt idx="19">
                  <c:v>3114.7580000000003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17-426F-B758-D3CEBEE09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006527"/>
        <c:axId val="540391247"/>
      </c:scatterChart>
      <c:valAx>
        <c:axId val="1885006527"/>
        <c:scaling>
          <c:orientation val="minMax"/>
          <c:max val="3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Długość</a:t>
                </a:r>
                <a:r>
                  <a:rPr lang="pl-PL" baseline="0"/>
                  <a:t> pręta n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40391247"/>
        <c:crosses val="autoZero"/>
        <c:crossBetween val="midCat"/>
      </c:valAx>
      <c:valAx>
        <c:axId val="540391247"/>
        <c:scaling>
          <c:orientation val="minMax"/>
          <c:max val="3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wykonywania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500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Zależność czasu </a:t>
            </a:r>
            <a:r>
              <a:rPr lang="pl-PL"/>
              <a:t>iterative</a:t>
            </a:r>
            <a:r>
              <a:rPr lang="en-US"/>
              <a:t> od długości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Zależność czasu wykonywania od długości 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LCS!$U$3:$U$22</c:f>
              <c:numCache>
                <c:formatCode>General</c:formatCode>
                <c:ptCount val="20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</c:numCache>
            </c:numRef>
          </c:xVal>
          <c:yVal>
            <c:numRef>
              <c:f>LCS!$V$3:$V$22</c:f>
              <c:numCache>
                <c:formatCode>General</c:formatCode>
                <c:ptCount val="20"/>
                <c:pt idx="0">
                  <c:v>20.932200000000002</c:v>
                </c:pt>
                <c:pt idx="1">
                  <c:v>131.79400000000001</c:v>
                </c:pt>
                <c:pt idx="2">
                  <c:v>311.89019999999999</c:v>
                </c:pt>
                <c:pt idx="3">
                  <c:v>554.11500000000001</c:v>
                </c:pt>
                <c:pt idx="4">
                  <c:v>845.09019999999998</c:v>
                </c:pt>
                <c:pt idx="5">
                  <c:v>1226.6161999999999</c:v>
                </c:pt>
                <c:pt idx="6">
                  <c:v>1667.184</c:v>
                </c:pt>
                <c:pt idx="7">
                  <c:v>1946.904</c:v>
                </c:pt>
                <c:pt idx="8">
                  <c:v>1984.3319999999999</c:v>
                </c:pt>
                <c:pt idx="9">
                  <c:v>2066.0459999999998</c:v>
                </c:pt>
                <c:pt idx="10">
                  <c:v>2305.6179999999999</c:v>
                </c:pt>
                <c:pt idx="11">
                  <c:v>2593.0479999999998</c:v>
                </c:pt>
                <c:pt idx="12">
                  <c:v>2897.9560000000001</c:v>
                </c:pt>
                <c:pt idx="13">
                  <c:v>3196.4979999999996</c:v>
                </c:pt>
                <c:pt idx="14">
                  <c:v>3460.0059999999999</c:v>
                </c:pt>
                <c:pt idx="15">
                  <c:v>3911.7959999999998</c:v>
                </c:pt>
                <c:pt idx="16">
                  <c:v>4239.4479999999994</c:v>
                </c:pt>
                <c:pt idx="17">
                  <c:v>4664.2</c:v>
                </c:pt>
                <c:pt idx="18">
                  <c:v>5159.2739999999994</c:v>
                </c:pt>
                <c:pt idx="19">
                  <c:v>5705.98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C-49C2-B8C9-D41461AB6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006527"/>
        <c:axId val="540391247"/>
      </c:scatterChart>
      <c:valAx>
        <c:axId val="1885006527"/>
        <c:scaling>
          <c:orientation val="minMax"/>
          <c:max val="10000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Długość</a:t>
                </a:r>
                <a:r>
                  <a:rPr lang="pl-PL" baseline="0"/>
                  <a:t> ciągu n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40391247"/>
        <c:crosses val="autoZero"/>
        <c:crossBetween val="midCat"/>
      </c:valAx>
      <c:valAx>
        <c:axId val="5403912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wykonywania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500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Zależność czasu </a:t>
            </a:r>
            <a:r>
              <a:rPr lang="pl-PL"/>
              <a:t>recursive</a:t>
            </a:r>
            <a:r>
              <a:rPr lang="en-US"/>
              <a:t> od długości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Zależność czasu wykonywania od długości 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LCS!$U$3:$U$22</c:f>
              <c:numCache>
                <c:formatCode>General</c:formatCode>
                <c:ptCount val="20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</c:numCache>
            </c:numRef>
          </c:xVal>
          <c:yVal>
            <c:numRef>
              <c:f>LCS!$W$3:$W$22</c:f>
              <c:numCache>
                <c:formatCode>General</c:formatCode>
                <c:ptCount val="20"/>
                <c:pt idx="0">
                  <c:v>815.99040000000002</c:v>
                </c:pt>
                <c:pt idx="1">
                  <c:v>53.425399999999989</c:v>
                </c:pt>
                <c:pt idx="2">
                  <c:v>131.26079999999999</c:v>
                </c:pt>
                <c:pt idx="3">
                  <c:v>202.83980000000003</c:v>
                </c:pt>
                <c:pt idx="4">
                  <c:v>299.12579999999997</c:v>
                </c:pt>
                <c:pt idx="5">
                  <c:v>456.15959999999995</c:v>
                </c:pt>
                <c:pt idx="6">
                  <c:v>648.2342000000001</c:v>
                </c:pt>
                <c:pt idx="7">
                  <c:v>796.0107999999999</c:v>
                </c:pt>
                <c:pt idx="8">
                  <c:v>1024.2447999999999</c:v>
                </c:pt>
                <c:pt idx="9">
                  <c:v>1198.6554000000001</c:v>
                </c:pt>
                <c:pt idx="10">
                  <c:v>1449.4680000000001</c:v>
                </c:pt>
                <c:pt idx="11">
                  <c:v>1656.6380000000001</c:v>
                </c:pt>
                <c:pt idx="12">
                  <c:v>1992.7139999999999</c:v>
                </c:pt>
                <c:pt idx="13">
                  <c:v>2273.652</c:v>
                </c:pt>
                <c:pt idx="14">
                  <c:v>2513.2580000000003</c:v>
                </c:pt>
                <c:pt idx="15">
                  <c:v>2838.7180000000003</c:v>
                </c:pt>
                <c:pt idx="16">
                  <c:v>3014.9350000000004</c:v>
                </c:pt>
                <c:pt idx="17">
                  <c:v>3534.9760000000001</c:v>
                </c:pt>
                <c:pt idx="18">
                  <c:v>4008.2139999999999</c:v>
                </c:pt>
                <c:pt idx="19">
                  <c:v>4409.9620000000004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93-42A3-BEA4-3CE40D6CA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006527"/>
        <c:axId val="540391247"/>
      </c:scatterChart>
      <c:valAx>
        <c:axId val="1885006527"/>
        <c:scaling>
          <c:orientation val="minMax"/>
          <c:max val="10000"/>
          <c:min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Długość</a:t>
                </a:r>
                <a:r>
                  <a:rPr lang="pl-PL" baseline="0"/>
                  <a:t> ciągu n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40391247"/>
        <c:crosses val="autoZero"/>
        <c:crossBetween val="midCat"/>
      </c:valAx>
      <c:valAx>
        <c:axId val="5403912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wykonywania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5006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Zależność czasu recursive od liczby zajęć 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'Activity Selector Modded'!$Z$3:$Z$22</c:f>
              <c:numCache>
                <c:formatCode>General</c:formatCode>
                <c:ptCount val="2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  <c:pt idx="10">
                  <c:v>55000</c:v>
                </c:pt>
                <c:pt idx="11">
                  <c:v>60000</c:v>
                </c:pt>
                <c:pt idx="12">
                  <c:v>65000</c:v>
                </c:pt>
                <c:pt idx="13">
                  <c:v>70000</c:v>
                </c:pt>
                <c:pt idx="14">
                  <c:v>75000</c:v>
                </c:pt>
                <c:pt idx="15">
                  <c:v>80000</c:v>
                </c:pt>
                <c:pt idx="16">
                  <c:v>85000</c:v>
                </c:pt>
                <c:pt idx="17">
                  <c:v>90000</c:v>
                </c:pt>
                <c:pt idx="18">
                  <c:v>95000</c:v>
                </c:pt>
                <c:pt idx="19">
                  <c:v>100000</c:v>
                </c:pt>
              </c:numCache>
            </c:numRef>
          </c:xVal>
          <c:yVal>
            <c:numRef>
              <c:f>'Activity Selector Modded'!$AA$3:$AA$22</c:f>
              <c:numCache>
                <c:formatCode>General</c:formatCode>
                <c:ptCount val="20"/>
                <c:pt idx="0">
                  <c:v>2.52E-2</c:v>
                </c:pt>
                <c:pt idx="1">
                  <c:v>4.5399999999999996E-2</c:v>
                </c:pt>
                <c:pt idx="2">
                  <c:v>6.6799999999999998E-2</c:v>
                </c:pt>
                <c:pt idx="3">
                  <c:v>9.1599999999999987E-2</c:v>
                </c:pt>
                <c:pt idx="4">
                  <c:v>0.1326</c:v>
                </c:pt>
                <c:pt idx="5">
                  <c:v>0.17460000000000001</c:v>
                </c:pt>
                <c:pt idx="6">
                  <c:v>0.1618</c:v>
                </c:pt>
                <c:pt idx="7">
                  <c:v>0.18839999999999998</c:v>
                </c:pt>
                <c:pt idx="8">
                  <c:v>0.20619999999999999</c:v>
                </c:pt>
                <c:pt idx="9">
                  <c:v>0.22939999999999999</c:v>
                </c:pt>
                <c:pt idx="10">
                  <c:v>0.25860000000000005</c:v>
                </c:pt>
                <c:pt idx="11">
                  <c:v>0.309</c:v>
                </c:pt>
                <c:pt idx="12">
                  <c:v>0.31059999999999999</c:v>
                </c:pt>
                <c:pt idx="13">
                  <c:v>0.33260000000000006</c:v>
                </c:pt>
                <c:pt idx="14">
                  <c:v>0.35399999999999998</c:v>
                </c:pt>
                <c:pt idx="15">
                  <c:v>0.37580000000000002</c:v>
                </c:pt>
                <c:pt idx="16">
                  <c:v>0.39360000000000001</c:v>
                </c:pt>
                <c:pt idx="17">
                  <c:v>0.42059999999999997</c:v>
                </c:pt>
                <c:pt idx="18">
                  <c:v>0.43760000000000004</c:v>
                </c:pt>
                <c:pt idx="19">
                  <c:v>0.46299999999999997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47-433B-B10F-DFBC2EEE1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390287"/>
        <c:axId val="1885006527"/>
      </c:scatterChart>
      <c:valAx>
        <c:axId val="540390287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zajęć n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5006527"/>
        <c:crosses val="autoZero"/>
        <c:crossBetween val="midCat"/>
      </c:valAx>
      <c:valAx>
        <c:axId val="188500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wykonywania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40390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Zależność czasu </a:t>
            </a:r>
            <a:r>
              <a:rPr lang="pl-PL"/>
              <a:t>iterative</a:t>
            </a:r>
            <a:r>
              <a:rPr lang="en-US"/>
              <a:t> od liczby zajęć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Zależność czasu recursive od liczby zajęć 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'Activity Selector Modded'!$Z$3:$Z$22</c:f>
              <c:numCache>
                <c:formatCode>General</c:formatCode>
                <c:ptCount val="2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  <c:pt idx="10">
                  <c:v>55000</c:v>
                </c:pt>
                <c:pt idx="11">
                  <c:v>60000</c:v>
                </c:pt>
                <c:pt idx="12">
                  <c:v>65000</c:v>
                </c:pt>
                <c:pt idx="13">
                  <c:v>70000</c:v>
                </c:pt>
                <c:pt idx="14">
                  <c:v>75000</c:v>
                </c:pt>
                <c:pt idx="15">
                  <c:v>80000</c:v>
                </c:pt>
                <c:pt idx="16">
                  <c:v>85000</c:v>
                </c:pt>
                <c:pt idx="17">
                  <c:v>90000</c:v>
                </c:pt>
                <c:pt idx="18">
                  <c:v>95000</c:v>
                </c:pt>
                <c:pt idx="19">
                  <c:v>100000</c:v>
                </c:pt>
              </c:numCache>
            </c:numRef>
          </c:xVal>
          <c:yVal>
            <c:numRef>
              <c:f>'Activity Selector Modded'!$AB$3:$AB$22</c:f>
              <c:numCache>
                <c:formatCode>General</c:formatCode>
                <c:ptCount val="20"/>
                <c:pt idx="0">
                  <c:v>3.44E-2</c:v>
                </c:pt>
                <c:pt idx="1">
                  <c:v>6.1199999999999991E-2</c:v>
                </c:pt>
                <c:pt idx="2">
                  <c:v>8.0800000000000011E-2</c:v>
                </c:pt>
                <c:pt idx="3">
                  <c:v>0.10700000000000001</c:v>
                </c:pt>
                <c:pt idx="4">
                  <c:v>0.1452</c:v>
                </c:pt>
                <c:pt idx="5">
                  <c:v>0.22700000000000001</c:v>
                </c:pt>
                <c:pt idx="6">
                  <c:v>0.2112</c:v>
                </c:pt>
                <c:pt idx="7">
                  <c:v>0.30480000000000007</c:v>
                </c:pt>
                <c:pt idx="8">
                  <c:v>0.26700000000000002</c:v>
                </c:pt>
                <c:pt idx="9">
                  <c:v>0.38019999999999998</c:v>
                </c:pt>
                <c:pt idx="10">
                  <c:v>0.35920000000000007</c:v>
                </c:pt>
                <c:pt idx="11">
                  <c:v>0.41979999999999995</c:v>
                </c:pt>
                <c:pt idx="12">
                  <c:v>0.41</c:v>
                </c:pt>
                <c:pt idx="13">
                  <c:v>0.39139999999999997</c:v>
                </c:pt>
                <c:pt idx="14">
                  <c:v>0.47339999999999993</c:v>
                </c:pt>
                <c:pt idx="15">
                  <c:v>0.55140000000000011</c:v>
                </c:pt>
                <c:pt idx="16">
                  <c:v>0.57040000000000002</c:v>
                </c:pt>
                <c:pt idx="17">
                  <c:v>0.66780000000000006</c:v>
                </c:pt>
                <c:pt idx="18">
                  <c:v>0.62880000000000003</c:v>
                </c:pt>
                <c:pt idx="19">
                  <c:v>0.75139999999999996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D3-4873-84C7-2B1DBEEF2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390287"/>
        <c:axId val="1885006527"/>
      </c:scatterChart>
      <c:valAx>
        <c:axId val="540390287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zajęć n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5006527"/>
        <c:crosses val="autoZero"/>
        <c:crossBetween val="midCat"/>
      </c:valAx>
      <c:valAx>
        <c:axId val="188500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wykonywania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40390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Zależność czasu dynamic od liczby zajęć 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'Activity Selector Modded'!$AC$2</c:f>
              <c:strCache>
                <c:ptCount val="1"/>
                <c:pt idx="0">
                  <c:v>dp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'Activity Selector Modded'!$Z$3:$Z$22</c:f>
              <c:numCache>
                <c:formatCode>General</c:formatCode>
                <c:ptCount val="2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  <c:pt idx="10">
                  <c:v>55000</c:v>
                </c:pt>
                <c:pt idx="11">
                  <c:v>60000</c:v>
                </c:pt>
                <c:pt idx="12">
                  <c:v>65000</c:v>
                </c:pt>
                <c:pt idx="13">
                  <c:v>70000</c:v>
                </c:pt>
                <c:pt idx="14">
                  <c:v>75000</c:v>
                </c:pt>
                <c:pt idx="15">
                  <c:v>80000</c:v>
                </c:pt>
                <c:pt idx="16">
                  <c:v>85000</c:v>
                </c:pt>
                <c:pt idx="17">
                  <c:v>90000</c:v>
                </c:pt>
                <c:pt idx="18">
                  <c:v>95000</c:v>
                </c:pt>
                <c:pt idx="19">
                  <c:v>100000</c:v>
                </c:pt>
              </c:numCache>
            </c:numRef>
          </c:xVal>
          <c:yVal>
            <c:numRef>
              <c:f>'Activity Selector Modded'!$AC$3:$AC$22</c:f>
              <c:numCache>
                <c:formatCode>General</c:formatCode>
                <c:ptCount val="20"/>
                <c:pt idx="0">
                  <c:v>65.9512</c:v>
                </c:pt>
                <c:pt idx="1">
                  <c:v>256.04319999999996</c:v>
                </c:pt>
                <c:pt idx="2">
                  <c:v>553.21960000000001</c:v>
                </c:pt>
                <c:pt idx="3">
                  <c:v>997.24559999999997</c:v>
                </c:pt>
                <c:pt idx="4">
                  <c:v>1533.5419999999999</c:v>
                </c:pt>
                <c:pt idx="5">
                  <c:v>2196.848</c:v>
                </c:pt>
                <c:pt idx="6">
                  <c:v>2947.4974999999999</c:v>
                </c:pt>
                <c:pt idx="7">
                  <c:v>3816.8899999999994</c:v>
                </c:pt>
                <c:pt idx="8">
                  <c:v>4806.5280000000002</c:v>
                </c:pt>
                <c:pt idx="9">
                  <c:v>5863.2980000000007</c:v>
                </c:pt>
                <c:pt idx="10">
                  <c:v>7110.9920000000002</c:v>
                </c:pt>
                <c:pt idx="11">
                  <c:v>8453.1919999999991</c:v>
                </c:pt>
                <c:pt idx="12">
                  <c:v>9874.405999999999</c:v>
                </c:pt>
                <c:pt idx="13">
                  <c:v>11472.22</c:v>
                </c:pt>
                <c:pt idx="14">
                  <c:v>13074.766666666668</c:v>
                </c:pt>
                <c:pt idx="15">
                  <c:v>14941.033333333335</c:v>
                </c:pt>
                <c:pt idx="16">
                  <c:v>16839.86</c:v>
                </c:pt>
                <c:pt idx="17">
                  <c:v>18950.500000000004</c:v>
                </c:pt>
                <c:pt idx="18">
                  <c:v>21050.366666666669</c:v>
                </c:pt>
                <c:pt idx="19">
                  <c:v>23733.550000000003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9D-4ABC-954C-3D0678CEC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390287"/>
        <c:axId val="18850065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'Activity Selector Modded'!$AA$2</c15:sqref>
                        </c15:formulaRef>
                      </c:ext>
                    </c:extLst>
                    <c:strCache>
                      <c:ptCount val="1"/>
                      <c:pt idx="0">
                        <c:v>recursive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1"/>
                      </a:solidFill>
                      <a:prstDash val="sysDot"/>
                    </a:ln>
                    <a:effectLst/>
                  </c:spPr>
                  <c:trendlineType val="power"/>
                  <c:dispRSqr val="0"/>
                  <c:dispEq val="0"/>
                </c:trendline>
                <c:xVal>
                  <c:numRef>
                    <c:extLst>
                      <c:ext uri="{02D57815-91ED-43cb-92C2-25804820EDAC}">
                        <c15:formulaRef>
                          <c15:sqref>'Activity Selector Modded'!$Z$3:$Z$22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5000</c:v>
                      </c:pt>
                      <c:pt idx="1">
                        <c:v>10000</c:v>
                      </c:pt>
                      <c:pt idx="2">
                        <c:v>15000</c:v>
                      </c:pt>
                      <c:pt idx="3">
                        <c:v>20000</c:v>
                      </c:pt>
                      <c:pt idx="4">
                        <c:v>25000</c:v>
                      </c:pt>
                      <c:pt idx="5">
                        <c:v>30000</c:v>
                      </c:pt>
                      <c:pt idx="6">
                        <c:v>35000</c:v>
                      </c:pt>
                      <c:pt idx="7">
                        <c:v>40000</c:v>
                      </c:pt>
                      <c:pt idx="8">
                        <c:v>45000</c:v>
                      </c:pt>
                      <c:pt idx="9">
                        <c:v>50000</c:v>
                      </c:pt>
                      <c:pt idx="10">
                        <c:v>55000</c:v>
                      </c:pt>
                      <c:pt idx="11">
                        <c:v>60000</c:v>
                      </c:pt>
                      <c:pt idx="12">
                        <c:v>65000</c:v>
                      </c:pt>
                      <c:pt idx="13">
                        <c:v>70000</c:v>
                      </c:pt>
                      <c:pt idx="14">
                        <c:v>75000</c:v>
                      </c:pt>
                      <c:pt idx="15">
                        <c:v>80000</c:v>
                      </c:pt>
                      <c:pt idx="16">
                        <c:v>85000</c:v>
                      </c:pt>
                      <c:pt idx="17">
                        <c:v>90000</c:v>
                      </c:pt>
                      <c:pt idx="18">
                        <c:v>95000</c:v>
                      </c:pt>
                      <c:pt idx="19">
                        <c:v>100000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'Activity Selector Modded'!$AA$3:$AA$22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2.52E-2</c:v>
                      </c:pt>
                      <c:pt idx="1">
                        <c:v>4.5399999999999996E-2</c:v>
                      </c:pt>
                      <c:pt idx="2">
                        <c:v>6.6799999999999998E-2</c:v>
                      </c:pt>
                      <c:pt idx="3">
                        <c:v>9.1599999999999987E-2</c:v>
                      </c:pt>
                      <c:pt idx="4">
                        <c:v>0.1326</c:v>
                      </c:pt>
                      <c:pt idx="5">
                        <c:v>0.17460000000000001</c:v>
                      </c:pt>
                      <c:pt idx="6">
                        <c:v>0.1618</c:v>
                      </c:pt>
                      <c:pt idx="7">
                        <c:v>0.18839999999999998</c:v>
                      </c:pt>
                      <c:pt idx="8">
                        <c:v>0.20619999999999999</c:v>
                      </c:pt>
                      <c:pt idx="9">
                        <c:v>0.22939999999999999</c:v>
                      </c:pt>
                      <c:pt idx="10">
                        <c:v>0.25860000000000005</c:v>
                      </c:pt>
                      <c:pt idx="11">
                        <c:v>0.309</c:v>
                      </c:pt>
                      <c:pt idx="12">
                        <c:v>0.31059999999999999</c:v>
                      </c:pt>
                      <c:pt idx="13">
                        <c:v>0.33260000000000006</c:v>
                      </c:pt>
                      <c:pt idx="14">
                        <c:v>0.35399999999999998</c:v>
                      </c:pt>
                      <c:pt idx="15">
                        <c:v>0.37580000000000002</c:v>
                      </c:pt>
                      <c:pt idx="16">
                        <c:v>0.39360000000000001</c:v>
                      </c:pt>
                      <c:pt idx="17">
                        <c:v>0.42059999999999997</c:v>
                      </c:pt>
                      <c:pt idx="18">
                        <c:v>0.43760000000000004</c:v>
                      </c:pt>
                      <c:pt idx="19">
                        <c:v>0.46299999999999997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3EFF-46AD-BC6E-3EBD3B2DFC9F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'Activity Selector Modded'!$AB$2</c15:sqref>
                        </c15:formulaRef>
                      </c:ext>
                    </c:extLst>
                    <c:strCache>
                      <c:ptCount val="1"/>
                      <c:pt idx="0">
                        <c:v>iterative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'Activity Selector Modded'!$Z$3:$Z$22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5000</c:v>
                      </c:pt>
                      <c:pt idx="1">
                        <c:v>10000</c:v>
                      </c:pt>
                      <c:pt idx="2">
                        <c:v>15000</c:v>
                      </c:pt>
                      <c:pt idx="3">
                        <c:v>20000</c:v>
                      </c:pt>
                      <c:pt idx="4">
                        <c:v>25000</c:v>
                      </c:pt>
                      <c:pt idx="5">
                        <c:v>30000</c:v>
                      </c:pt>
                      <c:pt idx="6">
                        <c:v>35000</c:v>
                      </c:pt>
                      <c:pt idx="7">
                        <c:v>40000</c:v>
                      </c:pt>
                      <c:pt idx="8">
                        <c:v>45000</c:v>
                      </c:pt>
                      <c:pt idx="9">
                        <c:v>50000</c:v>
                      </c:pt>
                      <c:pt idx="10">
                        <c:v>55000</c:v>
                      </c:pt>
                      <c:pt idx="11">
                        <c:v>60000</c:v>
                      </c:pt>
                      <c:pt idx="12">
                        <c:v>65000</c:v>
                      </c:pt>
                      <c:pt idx="13">
                        <c:v>70000</c:v>
                      </c:pt>
                      <c:pt idx="14">
                        <c:v>75000</c:v>
                      </c:pt>
                      <c:pt idx="15">
                        <c:v>80000</c:v>
                      </c:pt>
                      <c:pt idx="16">
                        <c:v>85000</c:v>
                      </c:pt>
                      <c:pt idx="17">
                        <c:v>90000</c:v>
                      </c:pt>
                      <c:pt idx="18">
                        <c:v>95000</c:v>
                      </c:pt>
                      <c:pt idx="19">
                        <c:v>100000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'Activity Selector Modded'!$AB$3:$AB$22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3.44E-2</c:v>
                      </c:pt>
                      <c:pt idx="1">
                        <c:v>6.1199999999999991E-2</c:v>
                      </c:pt>
                      <c:pt idx="2">
                        <c:v>8.0800000000000011E-2</c:v>
                      </c:pt>
                      <c:pt idx="3">
                        <c:v>0.10700000000000001</c:v>
                      </c:pt>
                      <c:pt idx="4">
                        <c:v>0.1452</c:v>
                      </c:pt>
                      <c:pt idx="5">
                        <c:v>0.22700000000000001</c:v>
                      </c:pt>
                      <c:pt idx="6">
                        <c:v>0.2112</c:v>
                      </c:pt>
                      <c:pt idx="7">
                        <c:v>0.30480000000000007</c:v>
                      </c:pt>
                      <c:pt idx="8">
                        <c:v>0.26700000000000002</c:v>
                      </c:pt>
                      <c:pt idx="9">
                        <c:v>0.38019999999999998</c:v>
                      </c:pt>
                      <c:pt idx="10">
                        <c:v>0.35920000000000007</c:v>
                      </c:pt>
                      <c:pt idx="11">
                        <c:v>0.41979999999999995</c:v>
                      </c:pt>
                      <c:pt idx="12">
                        <c:v>0.41</c:v>
                      </c:pt>
                      <c:pt idx="13">
                        <c:v>0.39139999999999997</c:v>
                      </c:pt>
                      <c:pt idx="14">
                        <c:v>0.47339999999999993</c:v>
                      </c:pt>
                      <c:pt idx="15">
                        <c:v>0.55140000000000011</c:v>
                      </c:pt>
                      <c:pt idx="16">
                        <c:v>0.57040000000000002</c:v>
                      </c:pt>
                      <c:pt idx="17">
                        <c:v>0.66780000000000006</c:v>
                      </c:pt>
                      <c:pt idx="18">
                        <c:v>0.62880000000000003</c:v>
                      </c:pt>
                      <c:pt idx="19">
                        <c:v>0.75139999999999996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2A9D-4ABC-954C-3D0678CEC715}"/>
                  </c:ext>
                </c:extLst>
              </c15:ser>
            </c15:filteredScatterSeries>
          </c:ext>
        </c:extLst>
      </c:scatterChart>
      <c:valAx>
        <c:axId val="540390287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zajęć n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5006527"/>
        <c:crosses val="autoZero"/>
        <c:crossBetween val="midCat"/>
      </c:valAx>
      <c:valAx>
        <c:axId val="188500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wykonywania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40390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Zależność czasu od długości 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Huffmann!$P$3:$P$22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Huffmann!$Q$3:$Q$22</c:f>
              <c:numCache>
                <c:formatCode>General</c:formatCode>
                <c:ptCount val="20"/>
                <c:pt idx="0">
                  <c:v>8.6200000000000013E-2</c:v>
                </c:pt>
                <c:pt idx="1">
                  <c:v>8.900000000000001E-2</c:v>
                </c:pt>
                <c:pt idx="2">
                  <c:v>8.7600000000000011E-2</c:v>
                </c:pt>
                <c:pt idx="3">
                  <c:v>9.420000000000002E-2</c:v>
                </c:pt>
                <c:pt idx="4">
                  <c:v>8.4400000000000003E-2</c:v>
                </c:pt>
                <c:pt idx="5">
                  <c:v>8.7800000000000017E-2</c:v>
                </c:pt>
                <c:pt idx="6">
                  <c:v>8.6400000000000005E-2</c:v>
                </c:pt>
                <c:pt idx="7">
                  <c:v>8.8199999999999987E-2</c:v>
                </c:pt>
                <c:pt idx="8">
                  <c:v>8.7399999999999992E-2</c:v>
                </c:pt>
                <c:pt idx="9">
                  <c:v>8.6999999999999994E-2</c:v>
                </c:pt>
                <c:pt idx="10">
                  <c:v>8.6599999999999996E-2</c:v>
                </c:pt>
                <c:pt idx="11">
                  <c:v>8.6000000000000007E-2</c:v>
                </c:pt>
                <c:pt idx="12">
                  <c:v>8.5999999999999993E-2</c:v>
                </c:pt>
                <c:pt idx="13">
                  <c:v>8.9199999999999988E-2</c:v>
                </c:pt>
                <c:pt idx="14">
                  <c:v>8.6199999999999985E-2</c:v>
                </c:pt>
                <c:pt idx="15">
                  <c:v>8.6400000000000005E-2</c:v>
                </c:pt>
                <c:pt idx="16">
                  <c:v>8.6199999999999985E-2</c:v>
                </c:pt>
                <c:pt idx="17">
                  <c:v>8.7199999999999986E-2</c:v>
                </c:pt>
                <c:pt idx="18">
                  <c:v>8.6599999999999983E-2</c:v>
                </c:pt>
                <c:pt idx="19">
                  <c:v>8.5999999999999993E-2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0F-4C0B-BB86-3E3A8CDA9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390287"/>
        <c:axId val="1885006527"/>
      </c:scatterChart>
      <c:valAx>
        <c:axId val="540390287"/>
        <c:scaling>
          <c:orientation val="minMax"/>
          <c:max val="10000000"/>
          <c:min val="5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aseline="0"/>
                  <a:t>Długość tekstu n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5006527"/>
        <c:crosses val="autoZero"/>
        <c:crossBetween val="midCat"/>
      </c:valAx>
      <c:valAx>
        <c:axId val="1885006527"/>
        <c:scaling>
          <c:orientation val="minMax"/>
          <c:max val="0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wykonywania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40390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'Ternary Huffmann'!$P$3:$P$22</c:f>
              <c:numCache>
                <c:formatCode>General</c:formatCode>
                <c:ptCount val="20"/>
                <c:pt idx="0">
                  <c:v>500000</c:v>
                </c:pt>
                <c:pt idx="1">
                  <c:v>1000000</c:v>
                </c:pt>
                <c:pt idx="2">
                  <c:v>1500000</c:v>
                </c:pt>
                <c:pt idx="3">
                  <c:v>2000000</c:v>
                </c:pt>
                <c:pt idx="4">
                  <c:v>2500000</c:v>
                </c:pt>
                <c:pt idx="5">
                  <c:v>3000000</c:v>
                </c:pt>
                <c:pt idx="6">
                  <c:v>3500000</c:v>
                </c:pt>
                <c:pt idx="7">
                  <c:v>4000000</c:v>
                </c:pt>
                <c:pt idx="8">
                  <c:v>4500000</c:v>
                </c:pt>
                <c:pt idx="9">
                  <c:v>5000000</c:v>
                </c:pt>
                <c:pt idx="10">
                  <c:v>5500000</c:v>
                </c:pt>
                <c:pt idx="11">
                  <c:v>6000000</c:v>
                </c:pt>
                <c:pt idx="12">
                  <c:v>6500000</c:v>
                </c:pt>
                <c:pt idx="13">
                  <c:v>7000000</c:v>
                </c:pt>
                <c:pt idx="14">
                  <c:v>7500000</c:v>
                </c:pt>
                <c:pt idx="15">
                  <c:v>8000000</c:v>
                </c:pt>
                <c:pt idx="16">
                  <c:v>8500000</c:v>
                </c:pt>
                <c:pt idx="17">
                  <c:v>9000000</c:v>
                </c:pt>
                <c:pt idx="18">
                  <c:v>9500000</c:v>
                </c:pt>
                <c:pt idx="19">
                  <c:v>10000000</c:v>
                </c:pt>
              </c:numCache>
            </c:numRef>
          </c:xVal>
          <c:yVal>
            <c:numRef>
              <c:f>'Ternary Huffmann'!$Q$3:$Q$22</c:f>
              <c:numCache>
                <c:formatCode>General</c:formatCode>
                <c:ptCount val="20"/>
                <c:pt idx="0">
                  <c:v>0.1002</c:v>
                </c:pt>
                <c:pt idx="1">
                  <c:v>0.1018</c:v>
                </c:pt>
                <c:pt idx="2">
                  <c:v>0.1004</c:v>
                </c:pt>
                <c:pt idx="3">
                  <c:v>0.1014</c:v>
                </c:pt>
                <c:pt idx="4">
                  <c:v>0.1022</c:v>
                </c:pt>
                <c:pt idx="5">
                  <c:v>0.1056</c:v>
                </c:pt>
                <c:pt idx="6">
                  <c:v>0.1012</c:v>
                </c:pt>
                <c:pt idx="7">
                  <c:v>0.1002</c:v>
                </c:pt>
                <c:pt idx="8">
                  <c:v>0.1004</c:v>
                </c:pt>
                <c:pt idx="9">
                  <c:v>9.9199999999999997E-2</c:v>
                </c:pt>
                <c:pt idx="10">
                  <c:v>9.98E-2</c:v>
                </c:pt>
                <c:pt idx="11">
                  <c:v>0.10440000000000001</c:v>
                </c:pt>
                <c:pt idx="12">
                  <c:v>0.1014</c:v>
                </c:pt>
                <c:pt idx="13">
                  <c:v>0.1002</c:v>
                </c:pt>
                <c:pt idx="14">
                  <c:v>0.1</c:v>
                </c:pt>
                <c:pt idx="15">
                  <c:v>0.1012</c:v>
                </c:pt>
                <c:pt idx="16">
                  <c:v>0.1002</c:v>
                </c:pt>
                <c:pt idx="17">
                  <c:v>0.1004</c:v>
                </c:pt>
                <c:pt idx="18">
                  <c:v>0.1002</c:v>
                </c:pt>
                <c:pt idx="19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77-4424-8AF8-626CCC9D7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390287"/>
        <c:axId val="1885006527"/>
      </c:scatterChart>
      <c:valAx>
        <c:axId val="540390287"/>
        <c:scaling>
          <c:orientation val="minMax"/>
          <c:max val="10000000"/>
          <c:min val="5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aseline="0"/>
                  <a:t>Długość tekstu n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85006527"/>
        <c:crosses val="autoZero"/>
        <c:crossBetween val="midCat"/>
      </c:valAx>
      <c:valAx>
        <c:axId val="1885006527"/>
        <c:scaling>
          <c:orientation val="minMax"/>
          <c:max val="0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wykonywania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40390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495299</xdr:colOff>
      <xdr:row>23</xdr:row>
      <xdr:rowOff>119061</xdr:rowOff>
    </xdr:from>
    <xdr:to>
      <xdr:col>6</xdr:col>
      <xdr:colOff>1028700</xdr:colOff>
      <xdr:row>40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CBAF76-6DE0-87E2-42BA-F3F58C775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466725</xdr:colOff>
      <xdr:row>23</xdr:row>
      <xdr:rowOff>142875</xdr:rowOff>
    </xdr:from>
    <xdr:to>
      <xdr:col>13</xdr:col>
      <xdr:colOff>933451</xdr:colOff>
      <xdr:row>41</xdr:row>
      <xdr:rowOff>4764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D6E2F7-A054-46F7-91EF-3D78046F1A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0</xdr:rowOff>
    </xdr:from>
    <xdr:to>
      <xdr:col>8</xdr:col>
      <xdr:colOff>9526</xdr:colOff>
      <xdr:row>42</xdr:row>
      <xdr:rowOff>52389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1C6843-91AD-4457-A7CA-B184EF534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0</xdr:rowOff>
    </xdr:from>
    <xdr:to>
      <xdr:col>8</xdr:col>
      <xdr:colOff>476251</xdr:colOff>
      <xdr:row>41</xdr:row>
      <xdr:rowOff>52389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611A14-5AEB-44B8-9319-6E4B112885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295275</xdr:colOff>
      <xdr:row>23</xdr:row>
      <xdr:rowOff>152400</xdr:rowOff>
    </xdr:from>
    <xdr:to>
      <xdr:col>17</xdr:col>
      <xdr:colOff>485776</xdr:colOff>
      <xdr:row>41</xdr:row>
      <xdr:rowOff>14289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1613C6-3014-483A-B111-21AACEDF90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228599</xdr:colOff>
      <xdr:row>23</xdr:row>
      <xdr:rowOff>90487</xdr:rowOff>
    </xdr:from>
    <xdr:to>
      <xdr:col>7</xdr:col>
      <xdr:colOff>409574</xdr:colOff>
      <xdr:row>40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7B106A-DAD3-8DDE-BBF1-5D5254FBF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23</xdr:row>
      <xdr:rowOff>57150</xdr:rowOff>
    </xdr:from>
    <xdr:to>
      <xdr:col>16</xdr:col>
      <xdr:colOff>257175</xdr:colOff>
      <xdr:row>40</xdr:row>
      <xdr:rowOff>33338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316E4E-BB76-4688-B532-0A8837E424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476250</xdr:colOff>
      <xdr:row>23</xdr:row>
      <xdr:rowOff>95250</xdr:rowOff>
    </xdr:from>
    <xdr:to>
      <xdr:col>25</xdr:col>
      <xdr:colOff>104775</xdr:colOff>
      <xdr:row>40</xdr:row>
      <xdr:rowOff>71438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71FCE5-4D4D-403B-819A-ACE1EE038E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23</xdr:row>
      <xdr:rowOff>57150</xdr:rowOff>
    </xdr:from>
    <xdr:to>
      <xdr:col>7</xdr:col>
      <xdr:colOff>582028</xdr:colOff>
      <xdr:row>39</xdr:row>
      <xdr:rowOff>181226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E5B193-DBF4-4F6A-81B3-FDD8851C8F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24</xdr:row>
      <xdr:rowOff>38100</xdr:rowOff>
    </xdr:from>
    <xdr:to>
      <xdr:col>8</xdr:col>
      <xdr:colOff>137405</xdr:colOff>
      <xdr:row>41</xdr:row>
      <xdr:rowOff>30860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BCE200-6754-4464-BB92-300D53B50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0.26147</cdr:x>
      <cdr:y>0.03243</cdr:y>
    </cdr:from>
    <cdr:to>
      <cdr:x>0.72051</cdr:x>
      <cdr:y>0.15129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4A65CDEC-F589-77AB-EA23-1A92372E7E0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333500" y="104775"/>
          <a:ext cx="2341067" cy="384081"/>
        </a:xfrm>
        <a:prstGeom xmlns:a="http://schemas.openxmlformats.org/drawingml/2006/main" prst="rect">
          <a:avLst/>
        </a:prstGeom>
      </cdr:spPr>
    </cdr:pic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3B215976-E2F4-4BED-B131-A59A8767C0F8}" autoFormatId="16" applyNumberFormats="0" applyBorderFormats="0" applyFontFormats="0" applyPatternFormats="0" applyAlignmentFormats="0" applyWidthHeightFormats="0">
  <queryTableRefresh nextId="5">
    <queryTableFields count="3">
      <queryTableField id="2" name="length" tableColumnId="2"/>
      <queryTableField id="3" name="memo_time" tableColumnId="3"/>
      <queryTableField id="4" name="bottom_up_time" tableColumnId="4"/>
    </queryTableFields>
    <queryTableDeletedFields count="1">
      <deletedField name="test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0DF2DDA5-CBF8-43E0-86D3-8C6A7C0FC7E1}" autoFormatId="16" applyNumberFormats="0" applyBorderFormats="0" applyFontFormats="0" applyPatternFormats="0" applyAlignmentFormats="0" applyWidthHeightFormats="0">
  <queryTableRefresh nextId="5">
    <queryTableFields count="3">
      <queryTableField id="2" name="length" tableColumnId="2"/>
      <queryTableField id="3" name="memo_time" tableColumnId="3"/>
      <queryTableField id="4" name="bottom_up_time" tableColumnId="4"/>
    </queryTableFields>
    <queryTableDeletedFields count="1">
      <deletedField name="test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CA0C3FFC-4188-4644-B259-46690483F36A}" autoFormatId="16" applyNumberFormats="0" applyBorderFormats="0" applyFontFormats="0" applyPatternFormats="0" applyAlignmentFormats="0" applyWidthHeightFormats="0">
  <queryTableRefresh nextId="5">
    <queryTableFields count="3">
      <queryTableField id="2" name="length" tableColumnId="2"/>
      <queryTableField id="3" name="memo_time" tableColumnId="3"/>
      <queryTableField id="4" name="bottom_up_time" tableColumnId="4"/>
    </queryTableFields>
    <queryTableDeletedFields count="1">
      <deletedField name="test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6" xr16:uid="{04457A1D-6F3E-4663-A0A9-48776A4E0DF2}" autoFormatId="16" applyNumberFormats="0" applyBorderFormats="0" applyFontFormats="0" applyPatternFormats="0" applyAlignmentFormats="0" applyWidthHeightFormats="0">
  <queryTableRefresh nextId="5">
    <queryTableFields count="3">
      <queryTableField id="2" name="length" tableColumnId="2"/>
      <queryTableField id="3" name="memo_time" tableColumnId="3"/>
      <queryTableField id="4" name="bottom_up_time" tableColumnId="4"/>
    </queryTableFields>
    <queryTableDeletedFields count="1">
      <deletedField name="test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7" xr16:uid="{71816960-A3EC-45FB-A96A-689C6FF7BA2C}" autoFormatId="16" applyNumberFormats="0" applyBorderFormats="0" applyFontFormats="0" applyPatternFormats="0" applyAlignmentFormats="0" applyWidthHeightFormats="0">
  <queryTableRefresh nextId="5">
    <queryTableFields count="3">
      <queryTableField id="2" name="length" tableColumnId="2"/>
      <queryTableField id="3" name="memo_time" tableColumnId="3"/>
      <queryTableField id="4" name="bottom_up_time" tableColumnId="4"/>
    </queryTableFields>
    <queryTableDeletedFields count="1">
      <deletedField name="test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8" xr16:uid="{E3EA58F0-EAFA-45A2-810C-4BA77E215175}" autoFormatId="16" applyNumberFormats="0" applyBorderFormats="0" applyFontFormats="0" applyPatternFormats="0" applyAlignmentFormats="0" applyWidthHeightFormats="0">
  <queryTableRefresh nextId="5">
    <queryTableFields count="3">
      <queryTableField id="2" name="length" tableColumnId="2"/>
      <queryTableField id="3" name="memo_time" tableColumnId="3"/>
      <queryTableField id="4" name="bottom_up_time" tableColumnId="4"/>
    </queryTableFields>
    <queryTableDeletedFields count="1">
      <deletedField name="test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5" xr16:uid="{7D8D6DE6-06F5-46EC-845C-6DB9B62E1E4C}" autoFormatId="16" applyNumberFormats="0" applyBorderFormats="0" applyFontFormats="0" applyPatternFormats="0" applyAlignmentFormats="0" applyWidthHeightFormats="0">
  <queryTableRefresh nextId="4">
    <queryTableFields count="2">
      <queryTableField id="2" name="length" tableColumnId="2"/>
      <queryTableField id="3" name="naive_time" tableColumnId="3"/>
    </queryTableFields>
    <queryTableDeletedFields count="1">
      <deletedField name="test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6" xr16:uid="{E2DA7D59-80B8-4C4F-B40D-09B598742CBB}" autoFormatId="16" applyNumberFormats="0" applyBorderFormats="0" applyFontFormats="0" applyPatternFormats="0" applyAlignmentFormats="0" applyWidthHeightFormats="0">
  <queryTableRefresh nextId="4">
    <queryTableFields count="2">
      <queryTableField id="2" name="length" tableColumnId="2"/>
      <queryTableField id="3" name="naive_time" tableColumnId="3"/>
    </queryTableFields>
    <queryTableDeletedFields count="1">
      <deletedField name="test"/>
    </queryTableDeleted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7" xr16:uid="{42CD7546-AACE-456C-994F-79AB4DEA0CDF}" autoFormatId="16" applyNumberFormats="0" applyBorderFormats="0" applyFontFormats="0" applyPatternFormats="0" applyAlignmentFormats="0" applyWidthHeightFormats="0">
  <queryTableRefresh nextId="4">
    <queryTableFields count="2">
      <queryTableField id="2" name="length" tableColumnId="2"/>
      <queryTableField id="3" name="naive_time" tableColumnId="3"/>
    </queryTableFields>
    <queryTableDeletedFields count="1">
      <deletedField name="test"/>
    </queryTableDeleted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8" xr16:uid="{0E21730A-7A9A-44BF-B667-02E97BAEDB6D}" autoFormatId="16" applyNumberFormats="0" applyBorderFormats="0" applyFontFormats="0" applyPatternFormats="0" applyAlignmentFormats="0" applyWidthHeightFormats="0">
  <queryTableRefresh nextId="4">
    <queryTableFields count="2">
      <queryTableField id="2" name="length" tableColumnId="2"/>
      <queryTableField id="3" name="naive_time" tableColumnId="3"/>
    </queryTableFields>
    <queryTableDeletedFields count="1">
      <deletedField name="test"/>
    </queryTableDeleted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4" xr16:uid="{288B8523-27FE-4AA8-8204-36F0C378A581}" autoFormatId="16" applyNumberFormats="0" applyBorderFormats="0" applyFontFormats="0" applyPatternFormats="0" applyAlignmentFormats="0" applyWidthHeightFormats="0">
  <queryTableRefresh nextId="4">
    <queryTableFields count="2">
      <queryTableField id="2" name="length" tableColumnId="2"/>
      <queryTableField id="3" name="naive_time" tableColumnId="3"/>
    </queryTableFields>
    <queryTableDeletedFields count="1">
      <deletedField name="test"/>
    </queryTableDeleted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0" xr16:uid="{8C7B6CC1-A39A-4E68-A11B-BEFDF1A9613E}" autoFormatId="16" applyNumberFormats="0" applyBorderFormats="0" applyFontFormats="0" applyPatternFormats="0" applyAlignmentFormats="0" applyWidthHeightFormats="0">
  <queryTableRefresh nextId="4">
    <queryTableFields count="2">
      <queryTableField id="2" name="length" tableColumnId="2"/>
      <queryTableField id="3" name="naive_time" tableColumnId="3"/>
    </queryTableFields>
    <queryTableDeletedFields count="1">
      <deletedField name="test"/>
    </queryTableDeleted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43" xr16:uid="{0836B4FE-84ED-4370-A998-5E5381A49BA8}" autoFormatId="16" applyNumberFormats="0" applyBorderFormats="0" applyFontFormats="0" applyPatternFormats="0" applyAlignmentFormats="0" applyWidthHeightFormats="0">
  <queryTableRefresh nextId="5">
    <queryTableFields count="3">
      <queryTableField id="2" name="length" tableColumnId="2"/>
      <queryTableField id="3" name="iterative_time" tableColumnId="3"/>
      <queryTableField id="4" name="recursive_time" tableColumnId="4"/>
    </queryTableFields>
    <queryTableDeletedFields count="1">
      <deletedField name="test"/>
    </queryTableDeleted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32" xr16:uid="{627E3C02-FE67-4BD5-AF5E-D3C2BC16E2DC}" autoFormatId="16" applyNumberFormats="0" applyBorderFormats="0" applyFontFormats="0" applyPatternFormats="0" applyAlignmentFormats="0" applyWidthHeightFormats="0">
  <queryTableRefresh nextId="5">
    <queryTableFields count="3">
      <queryTableField id="2" name="length" tableColumnId="2"/>
      <queryTableField id="3" name="iterative_time" tableColumnId="3"/>
      <queryTableField id="4" name="recursive_time" tableColumnId="4"/>
    </queryTableFields>
    <queryTableDeletedFields count="1">
      <deletedField name="test"/>
    </queryTableDeleted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33" xr16:uid="{5C21840E-11E8-4B75-8367-8F87AC31E876}" autoFormatId="16" applyNumberFormats="0" applyBorderFormats="0" applyFontFormats="0" applyPatternFormats="0" applyAlignmentFormats="0" applyWidthHeightFormats="0">
  <queryTableRefresh nextId="5">
    <queryTableFields count="3">
      <queryTableField id="2" name="length" tableColumnId="2"/>
      <queryTableField id="3" name="iterative_time" tableColumnId="3"/>
      <queryTableField id="4" name="recursive_time" tableColumnId="4"/>
    </queryTableFields>
    <queryTableDeletedFields count="1">
      <deletedField name="test"/>
    </queryTableDeleted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34" xr16:uid="{7E908CF2-E02D-4FB1-8618-110B33B3AB59}" autoFormatId="16" applyNumberFormats="0" applyBorderFormats="0" applyFontFormats="0" applyPatternFormats="0" applyAlignmentFormats="0" applyWidthHeightFormats="0">
  <queryTableRefresh nextId="5">
    <queryTableFields count="3">
      <queryTableField id="2" name="length" tableColumnId="2"/>
      <queryTableField id="3" name="iterative_time" tableColumnId="3"/>
      <queryTableField id="4" name="recursive_time" tableColumnId="4"/>
    </queryTableFields>
    <queryTableDeletedFields count="1">
      <deletedField name="test"/>
    </queryTableDeleted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35" xr16:uid="{BB3BDEA7-F6C1-422E-9A1C-F17DD04B0DB1}" autoFormatId="16" applyNumberFormats="0" applyBorderFormats="0" applyFontFormats="0" applyPatternFormats="0" applyAlignmentFormats="0" applyWidthHeightFormats="0">
  <queryTableRefresh nextId="5">
    <queryTableFields count="3">
      <queryTableField id="2" name="length" tableColumnId="2"/>
      <queryTableField id="3" name="iterative_time" tableColumnId="3"/>
      <queryTableField id="4" name="recursive_time" tableColumnId="4"/>
    </queryTableFields>
    <queryTableDeletedFields count="1">
      <deletedField name="test"/>
    </queryTableDeleted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42" xr16:uid="{18FA3A5D-CF58-4559-A3F5-14FBB47704B1}" autoFormatId="16" applyNumberFormats="0" applyBorderFormats="0" applyFontFormats="0" applyPatternFormats="0" applyAlignmentFormats="0" applyWidthHeightFormats="0">
  <queryTableRefresh nextId="5">
    <queryTableFields count="3">
      <queryTableField id="2" name="length" tableColumnId="2"/>
      <queryTableField id="3" name="iterative_time" tableColumnId="3"/>
      <queryTableField id="4" name="recursive_time" tableColumnId="4"/>
    </queryTableFields>
    <queryTableDeletedFields count="1">
      <deletedField name="test"/>
    </queryTableDeleted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FECDBC0-20E0-4FB1-8630-32E9F903FF25}" autoFormatId="16" applyNumberFormats="0" applyBorderFormats="0" applyFontFormats="0" applyPatternFormats="0" applyAlignmentFormats="0" applyWidthHeightFormats="0">
  <queryTableRefresh nextId="6">
    <queryTableFields count="4">
      <queryTableField id="1" name="Column1" tableColumnId="1"/>
      <queryTableField id="3" name="Column3" tableColumnId="3"/>
      <queryTableField id="4" name="Column4" tableColumnId="4"/>
      <queryTableField id="5" name="Column5" tableColumnId="5"/>
    </queryTableFields>
    <queryTableDeletedFields count="1">
      <deletedField name="Column2"/>
    </queryTableDeleted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A3905E9C-C3B5-4304-863D-BB153C48B26C}" autoFormatId="16" applyNumberFormats="0" applyBorderFormats="0" applyFontFormats="0" applyPatternFormats="0" applyAlignmentFormats="0" applyWidthHeightFormats="0">
  <queryTableRefresh nextId="6">
    <queryTableFields count="4"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  <queryTableDeletedFields count="1">
      <deletedField name="Column1"/>
    </queryTableDeleted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BF2B87DE-0757-493D-A4E5-2947E71059B4}" autoFormatId="16" applyNumberFormats="0" applyBorderFormats="0" applyFontFormats="0" applyPatternFormats="0" applyAlignmentFormats="0" applyWidthHeightFormats="0">
  <queryTableRefresh nextId="6">
    <queryTableFields count="4"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  <queryTableDeletedFields count="1">
      <deletedField name="Column1"/>
    </queryTableDeleted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835F5DF6-D4F6-46E4-A352-23C061882516}" autoFormatId="16" applyNumberFormats="0" applyBorderFormats="0" applyFontFormats="0" applyPatternFormats="0" applyAlignmentFormats="0" applyWidthHeightFormats="0">
  <queryTableRefresh nextId="6">
    <queryTableFields count="4"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  <queryTableDeletedFields count="1">
      <deletedField name="Column1"/>
    </queryTableDeleted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1" xr16:uid="{6198A1B1-A125-4953-AD6A-68ECB5477644}" autoFormatId="16" applyNumberFormats="0" applyBorderFormats="0" applyFontFormats="0" applyPatternFormats="0" applyAlignmentFormats="0" applyWidthHeightFormats="0">
  <queryTableRefresh nextId="6">
    <queryTableFields count="4"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  <queryTableDeletedFields count="1">
      <deletedField name="Column1"/>
    </queryTableDeleted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2" xr16:uid="{5F677DD4-CECF-459E-B829-D900682B5BBD}" autoFormatId="16" applyNumberFormats="0" applyBorderFormats="0" applyFontFormats="0" applyPatternFormats="0" applyAlignmentFormats="0" applyWidthHeightFormats="0">
  <queryTableRefresh nextId="6">
    <queryTableFields count="4"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  <queryTableDeletedFields count="1">
      <deletedField name="Column1"/>
    </queryTableDeleted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" xr16:uid="{1731F828-F75E-463E-83F9-2CA48C64EBED}" autoFormatId="16" applyNumberFormats="0" applyBorderFormats="0" applyFontFormats="0" applyPatternFormats="0" applyAlignmentFormats="0" applyWidthHeightFormats="0">
  <queryTableRefresh nextId="4">
    <queryTableFields count="2">
      <queryTableField id="2" name="Column2" tableColumnId="2"/>
      <queryTableField id="3" name="Column3" tableColumnId="3"/>
    </queryTableFields>
    <queryTableDeletedFields count="1">
      <deletedField name="Column1"/>
    </queryTableDeleted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3" xr16:uid="{AC563AF3-B78C-440E-8E6D-5D6A98E97686}" autoFormatId="16" applyNumberFormats="0" applyBorderFormats="0" applyFontFormats="0" applyPatternFormats="0" applyAlignmentFormats="0" applyWidthHeightFormats="0">
  <queryTableRefresh nextId="4">
    <queryTableFields count="2">
      <queryTableField id="2" name="Column2" tableColumnId="2"/>
      <queryTableField id="3" name="Column3" tableColumnId="3"/>
    </queryTableFields>
    <queryTableDeletedFields count="1">
      <deletedField name="Column1"/>
    </queryTableDeleted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4" xr16:uid="{B9C18E73-97FF-4ED7-B409-8DAE2249F2AD}" autoFormatId="16" applyNumberFormats="0" applyBorderFormats="0" applyFontFormats="0" applyPatternFormats="0" applyAlignmentFormats="0" applyWidthHeightFormats="0">
  <queryTableRefresh nextId="4">
    <queryTableFields count="2">
      <queryTableField id="2" name="Column2" tableColumnId="2"/>
      <queryTableField id="3" name="Column3" tableColumnId="3"/>
    </queryTableFields>
    <queryTableDeletedFields count="1">
      <deletedField name="Column1"/>
    </queryTableDeleted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5" xr16:uid="{C48A2109-F1B3-478A-85AE-0CD04644F5A3}" autoFormatId="16" applyNumberFormats="0" applyBorderFormats="0" applyFontFormats="0" applyPatternFormats="0" applyAlignmentFormats="0" applyWidthHeightFormats="0">
  <queryTableRefresh nextId="4">
    <queryTableFields count="2">
      <queryTableField id="2" name="Column2" tableColumnId="2"/>
      <queryTableField id="3" name="Column3" tableColumnId="3"/>
    </queryTableFields>
    <queryTableDeletedFields count="1">
      <deletedField name="Column1"/>
    </queryTableDeleted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6" xr16:uid="{11A601BD-3030-4C1E-94D5-B258FA74088F}" autoFormatId="16" applyNumberFormats="0" applyBorderFormats="0" applyFontFormats="0" applyPatternFormats="0" applyAlignmentFormats="0" applyWidthHeightFormats="0">
  <queryTableRefresh nextId="4">
    <queryTableFields count="2">
      <queryTableField id="2" name="Column2" tableColumnId="2"/>
      <queryTableField id="3" name="Column3" tableColumnId="3"/>
    </queryTableFields>
    <queryTableDeletedFields count="1">
      <deletedField name="Column1"/>
    </queryTableDeleted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7" xr16:uid="{EA8D800E-071D-452B-AE32-2F51B1F1F501}" autoFormatId="16" applyNumberFormats="0" applyBorderFormats="0" applyFontFormats="0" applyPatternFormats="0" applyAlignmentFormats="0" applyWidthHeightFormats="0">
  <queryTableRefresh nextId="4">
    <queryTableFields count="2">
      <queryTableField id="2" name="Column2" tableColumnId="2"/>
      <queryTableField id="3" name="Column3" tableColumnId="3"/>
    </queryTableFields>
    <queryTableDeletedFields count="1">
      <deletedField name="Column1"/>
    </queryTableDeleted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2" xr16:uid="{BA3DD315-89BC-43ED-99C1-0DCDBA88D398}" autoFormatId="16" applyNumberFormats="0" applyBorderFormats="0" applyFontFormats="0" applyPatternFormats="0" applyAlignmentFormats="0" applyWidthHeightFormats="0">
  <queryTableRefresh nextId="4">
    <queryTableFields count="2">
      <queryTableField id="2" name="Column2" tableColumnId="2"/>
      <queryTableField id="3" name="Column3" tableColumnId="3"/>
    </queryTableFields>
    <queryTableDeletedFields count="1">
      <deletedField name="Column1"/>
    </queryTableDeleted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1" xr16:uid="{61451038-F2E0-470D-A838-46644F284BF2}" autoFormatId="16" applyNumberFormats="0" applyBorderFormats="0" applyFontFormats="0" applyPatternFormats="0" applyAlignmentFormats="0" applyWidthHeightFormats="0">
  <queryTableRefresh nextId="4">
    <queryTableFields count="2">
      <queryTableField id="2" name="Column2" tableColumnId="2"/>
      <queryTableField id="3" name="Column3" tableColumnId="3"/>
    </queryTableFields>
    <queryTableDeletedFields count="1">
      <deletedField name="Column1"/>
    </queryTableDeleted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0" xr16:uid="{0ED3BFF1-939B-44B6-BF79-E29A230F3170}" autoFormatId="16" applyNumberFormats="0" applyBorderFormats="0" applyFontFormats="0" applyPatternFormats="0" applyAlignmentFormats="0" applyWidthHeightFormats="0">
  <queryTableRefresh nextId="4">
    <queryTableFields count="2">
      <queryTableField id="2" name="Column2" tableColumnId="2"/>
      <queryTableField id="3" name="Column3" tableColumnId="3"/>
    </queryTableFields>
    <queryTableDeletedFields count="1">
      <deletedField name="Column1"/>
    </queryTableDeleted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0" xr16:uid="{5F48E0E5-5744-423D-AEBF-07D48D171B74}" autoFormatId="16" applyNumberFormats="0" applyBorderFormats="0" applyFontFormats="0" applyPatternFormats="0" applyAlignmentFormats="0" applyWidthHeightFormats="0">
  <queryTableRefresh nextId="4">
    <queryTableFields count="2">
      <queryTableField id="2" name="Column2" tableColumnId="2"/>
      <queryTableField id="3" name="Column3" tableColumnId="3"/>
    </queryTableFields>
    <queryTableDeletedFields count="1">
      <deletedField name="Column1"/>
    </queryTableDeletedFields>
  </queryTableRefresh>
</queryTable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9" xr16:uid="{29A83745-C9FC-47A3-8E6B-AB408F039A1D}" autoFormatId="16" applyNumberFormats="0" applyBorderFormats="0" applyFontFormats="0" applyPatternFormats="0" applyAlignmentFormats="0" applyWidthHeightFormats="0">
  <queryTableRefresh nextId="4">
    <queryTableFields count="2">
      <queryTableField id="2" name="Column2" tableColumnId="2"/>
      <queryTableField id="3" name="Column3" tableColumnId="3"/>
    </queryTableFields>
    <queryTableDeletedFields count="1">
      <deletedField name="Column1"/>
    </queryTableDeletedFields>
  </queryTableRefresh>
</queryTable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8" xr16:uid="{593B4BCA-DE72-46CD-9B1C-AAF5003A912A}" autoFormatId="16" applyNumberFormats="0" applyBorderFormats="0" applyFontFormats="0" applyPatternFormats="0" applyAlignmentFormats="0" applyWidthHeightFormats="0">
  <queryTableRefresh nextId="4">
    <queryTableFields count="2">
      <queryTableField id="2" name="Column2" tableColumnId="2"/>
      <queryTableField id="3" name="Column3" tableColumnId="3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A5F25F-CEE9-4177-A461-6AF1B297A1EF}" name="dp_cut_rod_results" displayName="dp_cut_rod_results" ref="A2:C22" tableType="queryTable" totalsRowShown="0">
  <autoFilter ref="A2:C22" xr:uid="{FAA5F25F-CEE9-4177-A461-6AF1B297A1EF}"/>
  <tableColumns count="3">
    <tableColumn id="2" xr3:uid="{3D675B4B-64C1-47E2-92E3-308279926656}" uniqueName="2" name="length" queryTableFieldId="2"/>
    <tableColumn id="3" xr3:uid="{38A93BB5-1F91-437C-887D-9C017281BB29}" uniqueName="3" name="memo_time" queryTableFieldId="3" dataDxfId="4"/>
    <tableColumn id="4" xr3:uid="{7852BFEE-BF7E-41AF-BC85-345E08D768EE}" uniqueName="4" name="bottom_up_time" queryTableFieldId="4" dataDxfId="5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DD961C-9B8A-43A6-A4D9-8509C30E6154}" name="dp_cut_rod_results3" displayName="dp_cut_rod_results3" ref="E2:G22" tableType="queryTable" totalsRowShown="0">
  <autoFilter ref="E2:G22" xr:uid="{FADD961C-9B8A-43A6-A4D9-8509C30E6154}"/>
  <tableColumns count="3">
    <tableColumn id="2" xr3:uid="{123E8066-56BC-425C-9AF6-6D5B523DBEE8}" uniqueName="2" name="length" queryTableFieldId="2"/>
    <tableColumn id="3" xr3:uid="{A5A7DF61-0353-4D5E-98E6-43753C5D3C17}" uniqueName="3" name="memo_time" queryTableFieldId="3" dataDxfId="58"/>
    <tableColumn id="4" xr3:uid="{BFB1C9C2-9CE4-4F88-88FE-5F45F390A16E}" uniqueName="4" name="bottom_up_time" queryTableFieldId="4" dataDxfId="5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65E0A9-BD8D-482C-9C5D-49BB64B3D67C}" name="dp_cut_rod_results4" displayName="dp_cut_rod_results4" ref="I2:K22" tableType="queryTable" totalsRowShown="0">
  <autoFilter ref="I2:K22" xr:uid="{1665E0A9-BD8D-482C-9C5D-49BB64B3D67C}"/>
  <tableColumns count="3">
    <tableColumn id="2" xr3:uid="{6ECE3EED-F09D-495A-A683-1225B3F0E6ED}" uniqueName="2" name="length" queryTableFieldId="2"/>
    <tableColumn id="3" xr3:uid="{CA6283D1-497D-408B-BCB8-F083E33188EF}" uniqueName="3" name="memo_time" queryTableFieldId="3" dataDxfId="56"/>
    <tableColumn id="4" xr3:uid="{F55E7508-1B9B-46D9-A40D-04B5DCD3FCE7}" uniqueName="4" name="bottom_up_time" queryTableFieldId="4" dataDxfId="5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6A0E93-81C3-4C46-ADEF-20D628E31258}" name="dp_cut_rod_results5" displayName="dp_cut_rod_results5" ref="M2:O22" tableType="queryTable" totalsRowShown="0">
  <autoFilter ref="M2:O22" xr:uid="{CB6A0E93-81C3-4C46-ADEF-20D628E31258}"/>
  <tableColumns count="3">
    <tableColumn id="2" xr3:uid="{BF4B76F6-A22F-4324-A3B8-801DCEF25751}" uniqueName="2" name="length" queryTableFieldId="2"/>
    <tableColumn id="3" xr3:uid="{E72A8D31-0541-461E-9A79-84C3D7D1D7AA}" uniqueName="3" name="memo_time" queryTableFieldId="3" dataDxfId="54"/>
    <tableColumn id="4" xr3:uid="{C478F4D0-FA06-49B0-908F-1A7ADD6D61C5}" uniqueName="4" name="bottom_up_time" queryTableFieldId="4" dataDxfId="5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871064-4A9E-4876-A4B0-B7FE4BA3945B}" name="dp_cut_rod_results6" displayName="dp_cut_rod_results6" ref="Q2:S22" tableType="queryTable" totalsRowShown="0">
  <autoFilter ref="Q2:S22" xr:uid="{69871064-4A9E-4876-A4B0-B7FE4BA3945B}"/>
  <tableColumns count="3">
    <tableColumn id="2" xr3:uid="{35719F82-7E6B-4E07-86C3-0765CBE19445}" uniqueName="2" name="length" queryTableFieldId="2"/>
    <tableColumn id="3" xr3:uid="{A18B1188-5F91-48BC-8AED-3216B1F1452F}" uniqueName="3" name="memo_time" queryTableFieldId="3" dataDxfId="52"/>
    <tableColumn id="4" xr3:uid="{EE3CF658-5E17-4858-A3D5-ED1D09144D01}" uniqueName="4" name="bottom_up_time" queryTableFieldId="4" dataDxfId="5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AA3269-79E7-432A-AABD-414B9FAEE4BF}" name="dp_cut_rod_results67" displayName="dp_cut_rod_results67" ref="U2:W22" tableType="queryTable" totalsRowShown="0">
  <autoFilter ref="U2:W22" xr:uid="{2FAA3269-79E7-432A-AABD-414B9FAEE4BF}"/>
  <tableColumns count="3">
    <tableColumn id="2" xr3:uid="{02F567F3-4515-4869-B9AB-60A5DBD05CB6}" uniqueName="2" name="length" queryTableFieldId="2"/>
    <tableColumn id="3" xr3:uid="{B1F476C0-F108-47AC-ABC4-D974586FC74B}" uniqueName="3" name="memo_time" queryTableFieldId="3" dataDxfId="0"/>
    <tableColumn id="4" xr3:uid="{271BE0CA-1616-4B00-8FC2-72B1B9F89500}" uniqueName="4" name="bottom_up_time" queryTableFieldId="4" dataDxfId="5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692139C-F5B0-4EE5-8C05-05C34D0F6C8D}" name="naive_cut_rod_results9" displayName="naive_cut_rod_results9" ref="D2:E22" tableType="queryTable" totalsRowShown="0">
  <autoFilter ref="D2:E22" xr:uid="{D692139C-F5B0-4EE5-8C05-05C34D0F6C8D}"/>
  <tableColumns count="2">
    <tableColumn id="2" xr3:uid="{53C132E5-9326-4566-BAC3-308169069C31}" uniqueName="2" name="length" queryTableFieldId="2"/>
    <tableColumn id="3" xr3:uid="{53D78D89-9B81-4CE7-B2EB-587656CB00D1}" uniqueName="3" name="naive_time" queryTableFieldId="3" dataDxfId="2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B5465CF-A965-4C74-8A9E-68D51F3C4CE1}" name="naive_cut_rod_results10" displayName="naive_cut_rod_results10" ref="G2:H22" tableType="queryTable" totalsRowShown="0">
  <autoFilter ref="G2:H22" xr:uid="{FB5465CF-A965-4C74-8A9E-68D51F3C4CE1}"/>
  <tableColumns count="2">
    <tableColumn id="2" xr3:uid="{148D09AA-124C-4771-B8A7-9696D149FBE8}" uniqueName="2" name="length" queryTableFieldId="2"/>
    <tableColumn id="3" xr3:uid="{A52D0FA8-A4AB-4A5F-AB0C-867399604148}" uniqueName="3" name="naive_time" queryTableFieldId="3" dataDxfId="1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A761FB1-D296-400B-845E-A7BE82A5C4BE}" name="naive_cut_rod_results11" displayName="naive_cut_rod_results11" ref="J2:K22" tableType="queryTable" totalsRowShown="0">
  <autoFilter ref="J2:K22" xr:uid="{EA761FB1-D296-400B-845E-A7BE82A5C4BE}"/>
  <tableColumns count="2">
    <tableColumn id="2" xr3:uid="{CE8B2608-C04C-40AA-8549-7078227CB129}" uniqueName="2" name="length" queryTableFieldId="2"/>
    <tableColumn id="3" xr3:uid="{E5626C8F-EFBB-4FEA-BBEA-13CFF4344053}" uniqueName="3" name="naive_time" queryTableFieldId="3" dataDxfId="18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16A3796-0673-4FA0-B1F5-560996FDE5AC}" name="naive_cut_rod_results12" displayName="naive_cut_rod_results12" ref="M2:N22" tableType="queryTable" totalsRowShown="0">
  <autoFilter ref="M2:N22" xr:uid="{116A3796-0673-4FA0-B1F5-560996FDE5AC}"/>
  <tableColumns count="2">
    <tableColumn id="2" xr3:uid="{E4DC2644-C020-4693-9E04-1EE0D60C1A27}" uniqueName="2" name="length" queryTableFieldId="2"/>
    <tableColumn id="3" xr3:uid="{AF1D7EEC-5452-44A4-B210-D97D2A2CD6F6}" uniqueName="3" name="naive_time" queryTableFieldId="3" dataDxfId="1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6997A55-5F7D-41B5-A1BF-523BB5D8DA06}" name="naive_cut_rod_results" displayName="naive_cut_rod_results" ref="A2:B22" tableType="queryTable" totalsRowShown="0">
  <autoFilter ref="A2:B22" xr:uid="{F6997A55-5F7D-41B5-A1BF-523BB5D8DA06}"/>
  <tableColumns count="2">
    <tableColumn id="2" xr3:uid="{85B84C18-B1A6-474B-96E1-34BA126CFD1E}" uniqueName="2" name="length" queryTableFieldId="2"/>
    <tableColumn id="3" xr3:uid="{D2F7D932-8269-4A7D-BC1A-9E9D2B07DB5E}" uniqueName="3" name="naive_time" queryTableFieldId="3" dataDxfId="2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C6D87B9-2BF9-48E3-A9AE-28B094191C9A}" name="naive_cut_rod_results1220" displayName="naive_cut_rod_results1220" ref="P2:Q22" tableType="queryTable" totalsRowShown="0">
  <autoFilter ref="P2:Q22" xr:uid="{DC6D87B9-2BF9-48E3-A9AE-28B094191C9A}"/>
  <tableColumns count="2">
    <tableColumn id="2" xr3:uid="{A55D2C75-655A-40A0-9359-E2061D65ED03}" uniqueName="2" name="length" queryTableFieldId="2"/>
    <tableColumn id="3" xr3:uid="{F1868D96-DC2B-488D-9889-79E96E8A5D42}" uniqueName="3" name="naive_time" queryTableFieldId="3" dataDxfId="16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B26A692-0149-4E2A-8788-6FDC879D7DE1}" name="lcs_results__823" displayName="lcs_results__823" ref="E2:G22" tableType="queryTable" totalsRowShown="0">
  <autoFilter ref="E2:G22" xr:uid="{6B26A692-0149-4E2A-8788-6FDC879D7DE1}"/>
  <tableColumns count="3">
    <tableColumn id="2" xr3:uid="{88076449-F719-438E-A83B-1EE79ACFB91B}" uniqueName="2" name="length" queryTableFieldId="2"/>
    <tableColumn id="3" xr3:uid="{90AB6791-E4F6-4DA2-AAA6-8C7F41F45B32}" uniqueName="3" name="iterative_time" queryTableFieldId="3" dataDxfId="14"/>
    <tableColumn id="4" xr3:uid="{8D257F38-F960-4B02-A5D5-FDD88871268B}" uniqueName="4" name="recursive_time" queryTableFieldId="4" dataDxfId="1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15AEB38-6C9B-4C55-AD71-F53E7F677BE0}" name="lcs_results__824" displayName="lcs_results__824" ref="I2:K22" tableType="queryTable" totalsRowShown="0">
  <autoFilter ref="I2:K22" xr:uid="{815AEB38-6C9B-4C55-AD71-F53E7F677BE0}"/>
  <tableColumns count="3">
    <tableColumn id="2" xr3:uid="{D5E0EB93-DE8C-454E-AB39-531B58101260}" uniqueName="2" name="length" queryTableFieldId="2"/>
    <tableColumn id="3" xr3:uid="{6FDAB8C0-1EE4-4F98-B42D-BE9E4C28DB26}" uniqueName="3" name="iterative_time" queryTableFieldId="3" dataDxfId="12"/>
    <tableColumn id="4" xr3:uid="{91013D5A-5CC2-4896-81E0-B6B4AEDBDCB2}" uniqueName="4" name="recursive_time" queryTableFieldId="4" dataDxfId="11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4C40645F-DF6C-4B98-90FF-87539B91A557}" name="lcs_results__837" displayName="lcs_results__837" ref="M2:O22" tableType="queryTable" totalsRowShown="0">
  <autoFilter ref="M2:O22" xr:uid="{4C40645F-DF6C-4B98-90FF-87539B91A557}"/>
  <tableColumns count="3">
    <tableColumn id="2" xr3:uid="{81A7080D-F323-46C7-BB6C-092A3497E8E9}" uniqueName="2" name="length" queryTableFieldId="2"/>
    <tableColumn id="3" xr3:uid="{7F2AF8A9-3ABA-4AF3-AD43-0CBA027A68A0}" uniqueName="3" name="iterative_time" queryTableFieldId="3" dataDxfId="10"/>
    <tableColumn id="4" xr3:uid="{FB4AA0C0-6B51-4441-AC66-4E5C3DE1B65E}" uniqueName="4" name="recursive_time" queryTableFieldId="4" dataDxfId="9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E4A33AB8-B49A-4AD6-9ADF-44DD31A726EB}" name="lcs_results__844" displayName="lcs_results__844" ref="Q2:S22" tableType="queryTable" totalsRowShown="0">
  <autoFilter ref="Q2:S22" xr:uid="{E4A33AB8-B49A-4AD6-9ADF-44DD31A726EB}"/>
  <tableColumns count="3">
    <tableColumn id="2" xr3:uid="{D17A9331-55F7-4354-866A-9A5CB77286FD}" uniqueName="2" name="length" queryTableFieldId="2"/>
    <tableColumn id="3" xr3:uid="{AFE2F8A1-CF9B-4057-8817-64670858E4C1}" uniqueName="3" name="iterative_time" queryTableFieldId="3" dataDxfId="8"/>
    <tableColumn id="4" xr3:uid="{C98984D3-4501-49DF-872A-07ED8A1BC6C7}" uniqueName="4" name="recursive_time" queryTableFieldId="4" dataDxfId="7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52C70785-D725-4112-A876-C04AE929495D}" name="lcs_results__84445" displayName="lcs_results__84445" ref="U2:W22" tableType="queryTable" totalsRowShown="0">
  <autoFilter ref="U2:W22" xr:uid="{52C70785-D725-4112-A876-C04AE929495D}"/>
  <tableColumns count="3">
    <tableColumn id="2" xr3:uid="{6E7E7031-7CD3-4A24-AFF0-1C4943BF9491}" uniqueName="2" name="length" queryTableFieldId="2"/>
    <tableColumn id="3" xr3:uid="{C711E6AE-3A80-49C9-A246-02657DEE3587}" uniqueName="3" name="iterative_time" queryTableFieldId="3" dataDxfId="6"/>
    <tableColumn id="4" xr3:uid="{46B61A23-C0CA-4D55-8AD6-BE766FC3BE95}" uniqueName="4" name="recursive_time" queryTableFieldId="4" dataDxfId="5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C2AC6FC-CF49-4682-A031-1C650C23825B}" name="lcs_results__8" displayName="lcs_results__8" ref="A2:C22" tableType="queryTable" totalsRowShown="0">
  <autoFilter ref="A2:C22" xr:uid="{8C2AC6FC-CF49-4682-A031-1C650C23825B}"/>
  <tableColumns count="3">
    <tableColumn id="2" xr3:uid="{BCE3B239-3B0C-4FB0-A014-8E7BDFA11ADD}" uniqueName="2" name="length" queryTableFieldId="2"/>
    <tableColumn id="3" xr3:uid="{4755DEB0-9D9D-4712-BBD5-26AF638932DB}" uniqueName="3" name="iterative_time" queryTableFieldId="3" dataDxfId="3"/>
    <tableColumn id="4" xr3:uid="{C580A142-9657-4569-AC79-AF89887B4FB1}" uniqueName="4" name="recursive_time" queryTableFieldId="4" dataDxfId="15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668343B-8322-4D63-A4DB-D8873951F676}" name="activity_results_modded" displayName="activity_results_modded" ref="A2:D22" tableType="queryTable" totalsRowShown="0">
  <autoFilter ref="A2:D22" xr:uid="{9668343B-8322-4D63-A4DB-D8873951F676}"/>
  <tableColumns count="4">
    <tableColumn id="1" xr3:uid="{38846C3B-569F-4EAD-8FC7-DACF02754253}" uniqueName="1" name="n" queryTableFieldId="1"/>
    <tableColumn id="3" xr3:uid="{15795A9E-587A-45D1-95D3-1DD79A2A90E1}" uniqueName="3" name="recursive" queryTableFieldId="3" dataDxfId="49"/>
    <tableColumn id="4" xr3:uid="{83BE202B-44C8-4DEC-8951-3F6829FCE5DB}" uniqueName="4" name="iterative" queryTableFieldId="4" dataDxfId="48"/>
    <tableColumn id="5" xr3:uid="{0DAF4518-28FF-4889-BE7F-89A0201C381A}" uniqueName="5" name="dp" queryTableFieldId="5" dataDxfId="47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20D48C0-8505-4561-A62C-3FC3D40790D1}" name="activity_results_modded26" displayName="activity_results_modded26" ref="F2:I22" tableType="queryTable" totalsRowShown="0">
  <autoFilter ref="F2:I22" xr:uid="{720D48C0-8505-4561-A62C-3FC3D40790D1}"/>
  <tableColumns count="4">
    <tableColumn id="2" xr3:uid="{9F6275E6-92F4-47C3-82D1-A6D0BCE23AB6}" uniqueName="2" name="n" queryTableFieldId="2"/>
    <tableColumn id="3" xr3:uid="{81A7FB7A-E36C-41BC-94FF-00E338037FDB}" uniqueName="3" name="recursive" queryTableFieldId="3" dataDxfId="46"/>
    <tableColumn id="4" xr3:uid="{3A1F4374-5F6C-4440-8ACC-97D7AD936032}" uniqueName="4" name="iterative" queryTableFieldId="4" dataDxfId="45"/>
    <tableColumn id="5" xr3:uid="{F774BA8A-D6FD-406D-9BAF-B3DC7B77CDFD}" uniqueName="5" name="dp" queryTableFieldId="5" dataDxfId="44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6264E42-67BE-48C1-92BC-3D82A5B13AEE}" name="activity_results_modded27" displayName="activity_results_modded27" ref="K2:N22" tableType="queryTable" totalsRowShown="0">
  <autoFilter ref="K2:N22" xr:uid="{36264E42-67BE-48C1-92BC-3D82A5B13AEE}"/>
  <tableColumns count="4">
    <tableColumn id="2" xr3:uid="{6BF78F5F-B6D6-420B-B056-7C8FC782CAC6}" uniqueName="2" name="n" queryTableFieldId="2"/>
    <tableColumn id="3" xr3:uid="{2A4A635E-AAD6-4A8E-98C3-ADF2E17AAEAC}" uniqueName="3" name="recursive" queryTableFieldId="3" dataDxfId="43"/>
    <tableColumn id="4" xr3:uid="{7D2F35DB-22BC-486C-AFDF-BC0715316A47}" uniqueName="4" name="iterative" queryTableFieldId="4" dataDxfId="42"/>
    <tableColumn id="5" xr3:uid="{337CA023-F50E-4240-88B3-47ED5B01E253}" uniqueName="5" name="dp" queryTableFieldId="5" dataDxfId="41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9444833-33CD-4124-8BB7-662F944BE35E}" name="activity_results_modded28" displayName="activity_results_modded28" ref="P2:S22" tableType="queryTable" totalsRowShown="0">
  <autoFilter ref="P2:S22" xr:uid="{D9444833-33CD-4124-8BB7-662F944BE35E}"/>
  <tableColumns count="4">
    <tableColumn id="2" xr3:uid="{0D7EE7BC-6991-4075-913B-DE39477F0AC5}" uniqueName="2" name="n" queryTableFieldId="2"/>
    <tableColumn id="3" xr3:uid="{EC43D4BA-A9E3-4C28-B562-7AAE0E5D0488}" uniqueName="3" name="recursive" queryTableFieldId="3" dataDxfId="40"/>
    <tableColumn id="4" xr3:uid="{B8B17E2E-7323-41B5-AB8E-FBF4DAE4C6B7}" uniqueName="4" name="iterative" queryTableFieldId="4" dataDxfId="39"/>
    <tableColumn id="5" xr3:uid="{27640C28-2D9D-45B3-B444-35528581449B}" uniqueName="5" name="dp" queryTableFieldId="5" dataDxfId="38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F5DB6FC-CC26-49BB-A169-01DF247B3353}" name="activity_results_modded29" displayName="activity_results_modded29" ref="U2:X22" tableType="queryTable" totalsRowShown="0">
  <autoFilter ref="U2:X22" xr:uid="{3F5DB6FC-CC26-49BB-A169-01DF247B3353}"/>
  <tableColumns count="4">
    <tableColumn id="2" xr3:uid="{B65C36A1-C174-4489-8BB9-7F9898A712D1}" uniqueName="2" name="n" queryTableFieldId="2"/>
    <tableColumn id="3" xr3:uid="{8ED11163-9AA8-49A7-B4F7-72A84A3A9691}" uniqueName="3" name="recursive" queryTableFieldId="3" dataDxfId="37"/>
    <tableColumn id="4" xr3:uid="{D5DDE37C-D94E-4E51-A703-5C39F283561D}" uniqueName="4" name="iterative" queryTableFieldId="4" dataDxfId="36"/>
    <tableColumn id="5" xr3:uid="{CA2DFF71-0614-44A8-97D1-C8B24C36C1AA}" uniqueName="5" name="dp" queryTableFieldId="5" dataDxfId="35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972F8E7-FB19-4AF2-B0AA-9E8B4F55A984}" name="activity_results_modded2930" displayName="activity_results_modded2930" ref="Z2:AC22" tableType="queryTable" totalsRowShown="0">
  <autoFilter ref="Z2:AC22" xr:uid="{3972F8E7-FB19-4AF2-B0AA-9E8B4F55A984}"/>
  <tableColumns count="4">
    <tableColumn id="2" xr3:uid="{564F7DCE-0D45-4F31-8BBB-D2408A1328DA}" uniqueName="2" name="n" queryTableFieldId="2"/>
    <tableColumn id="3" xr3:uid="{50943FAB-16D5-4B55-B13A-AD2D7E8BF4A6}" uniqueName="3" name="recursive" queryTableFieldId="3" dataDxfId="2"/>
    <tableColumn id="4" xr3:uid="{4FD66770-9353-4658-AD3C-CC4F25661E8B}" uniqueName="4" name="iterative" queryTableFieldId="4" dataDxfId="1"/>
    <tableColumn id="5" xr3:uid="{CDD5B222-3335-4D41-8406-9E84429CAF10}" uniqueName="5" name="dp" queryTableFieldId="5" dataDxfId="34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F23BCDF-5588-4614-869E-2646A287600A}" name="huffman_results" displayName="huffman_results" ref="A2:B22" tableType="queryTable" totalsRowShown="0">
  <autoFilter ref="A2:B22" xr:uid="{0F23BCDF-5588-4614-869E-2646A287600A}"/>
  <tableColumns count="2">
    <tableColumn id="2" xr3:uid="{51444AA0-B7F2-4932-B0B1-0EE66AA62EB3}" uniqueName="2" name="Column2" queryTableFieldId="2"/>
    <tableColumn id="3" xr3:uid="{311AFBBE-544D-4FFE-A02E-056A627A7A3B}" uniqueName="3" name="Column3" queryTableFieldId="3" dataDxfId="33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3182F57-69B0-407F-9925-21C872438BEF}" name="huffman_results32" displayName="huffman_results32" ref="D2:E22" tableType="queryTable" totalsRowShown="0">
  <autoFilter ref="D2:E22" xr:uid="{23182F57-69B0-407F-9925-21C872438BEF}"/>
  <tableColumns count="2">
    <tableColumn id="2" xr3:uid="{D94C3DCD-9951-4D18-9962-43868AF558D4}" uniqueName="2" name="Column2" queryTableFieldId="2"/>
    <tableColumn id="3" xr3:uid="{71A67CA1-9C76-46E8-A171-6BAD677C56EB}" uniqueName="3" name="Column3" queryTableFieldId="3" dataDxfId="32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1C84B05A-3824-4BCF-A359-3BC5B5DF0351}" name="huffman_results33" displayName="huffman_results33" ref="G2:H22" tableType="queryTable" totalsRowShown="0">
  <autoFilter ref="G2:H22" xr:uid="{1C84B05A-3824-4BCF-A359-3BC5B5DF0351}"/>
  <tableColumns count="2">
    <tableColumn id="2" xr3:uid="{F561D65E-A4BD-4F18-9C25-957D69C767E9}" uniqueName="2" name="Column2" queryTableFieldId="2"/>
    <tableColumn id="3" xr3:uid="{9EDF8CB7-4251-40AF-AD25-7A4F61096C2C}" uniqueName="3" name="Column3" queryTableFieldId="3" dataDxfId="31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897A0E92-AD8D-43CE-B118-A78FF4D0DA42}" name="huffman_results34" displayName="huffman_results34" ref="J2:K22" tableType="queryTable" totalsRowShown="0">
  <autoFilter ref="J2:K22" xr:uid="{897A0E92-AD8D-43CE-B118-A78FF4D0DA42}"/>
  <tableColumns count="2">
    <tableColumn id="2" xr3:uid="{4DBE86E7-6B59-4EE3-9796-76198FB0C520}" uniqueName="2" name="Column2" queryTableFieldId="2"/>
    <tableColumn id="3" xr3:uid="{2DAA05D1-84F6-431F-AF49-7903FE5357F2}" uniqueName="3" name="Column3" queryTableFieldId="3" dataDxfId="30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6DF53323-A1D4-40D3-8EDD-8EB471A392EB}" name="huffman_results35" displayName="huffman_results35" ref="M2:N22" tableType="queryTable" totalsRowShown="0">
  <autoFilter ref="M2:N22" xr:uid="{6DF53323-A1D4-40D3-8EDD-8EB471A392EB}"/>
  <tableColumns count="2">
    <tableColumn id="2" xr3:uid="{F3D66A22-9B74-4ACD-BA1C-902DB6EAA96C}" uniqueName="2" name="Column2" queryTableFieldId="2"/>
    <tableColumn id="3" xr3:uid="{EFE50ADF-028F-427F-962C-5E57D5940317}" uniqueName="3" name="Column3" queryTableFieldId="3" dataDxfId="29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AC676F9F-D905-42E1-B2B9-FBBAA5156836}" name="huffman_results3536" displayName="huffman_results3536" ref="P2:Q22" tableType="queryTable" totalsRowShown="0">
  <autoFilter ref="P2:Q22" xr:uid="{AC676F9F-D905-42E1-B2B9-FBBAA5156836}"/>
  <tableColumns count="2">
    <tableColumn id="2" xr3:uid="{6BD78914-129F-4179-B67A-F9A1E44B6A5C}" uniqueName="2" name="Column2" queryTableFieldId="2"/>
    <tableColumn id="3" xr3:uid="{948EBD35-3238-4E78-B511-2EA868676357}" uniqueName="3" name="Column3" queryTableFieldId="3" dataDxfId="28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55A608FD-B549-4469-8A20-1B76C920174F}" name="huffman_results38" displayName="huffman_results38" ref="A2:B22" tableType="queryTable" totalsRowShown="0">
  <autoFilter ref="A2:B22" xr:uid="{55A608FD-B549-4469-8A20-1B76C920174F}"/>
  <tableColumns count="2">
    <tableColumn id="2" xr3:uid="{540971EC-F478-44A4-AD66-8C62C950BDB2}" uniqueName="2" name="Column2" queryTableFieldId="2"/>
    <tableColumn id="3" xr3:uid="{ABE13D0B-A892-4C0E-8FFF-2902ADD74DC6}" uniqueName="3" name="Column3" queryTableFieldId="3" dataDxfId="27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1E8DF843-867B-45E5-AE0C-80B22F286E83}" name="huffman_results3239" displayName="huffman_results3239" ref="D2:E22" tableType="queryTable" totalsRowShown="0">
  <autoFilter ref="D2:E22" xr:uid="{1E8DF843-867B-45E5-AE0C-80B22F286E83}"/>
  <tableColumns count="2">
    <tableColumn id="2" xr3:uid="{8E97596D-E340-497D-8867-E90965E30DB0}" uniqueName="2" name="Column2" queryTableFieldId="2"/>
    <tableColumn id="3" xr3:uid="{80267775-295A-436F-BA35-E73D59CBF0C6}" uniqueName="3" name="Column3" queryTableFieldId="3" dataDxfId="26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F41FFAE6-5DCF-46BF-ABD6-28213659045D}" name="huffman_results3340" displayName="huffman_results3340" ref="G2:H22" tableType="queryTable" totalsRowShown="0">
  <autoFilter ref="G2:H22" xr:uid="{F41FFAE6-5DCF-46BF-ABD6-28213659045D}"/>
  <tableColumns count="2">
    <tableColumn id="2" xr3:uid="{BB442B39-EDC0-4E01-9E53-57FFD10A1A9C}" uniqueName="2" name="Column2" queryTableFieldId="2"/>
    <tableColumn id="3" xr3:uid="{7ED77A21-16D1-4E2A-A573-93D75DC21769}" uniqueName="3" name="Column3" queryTableFieldId="3" dataDxfId="25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B95381C8-45B5-405D-8EA7-0B0D6B89EFDD}" name="huffman_results3441" displayName="huffman_results3441" ref="J2:K22" tableType="queryTable" totalsRowShown="0">
  <autoFilter ref="J2:K22" xr:uid="{B95381C8-45B5-405D-8EA7-0B0D6B89EFDD}"/>
  <tableColumns count="2">
    <tableColumn id="2" xr3:uid="{CC50610D-D785-4442-ABC8-A4901D036A27}" uniqueName="2" name="Column2" queryTableFieldId="2"/>
    <tableColumn id="3" xr3:uid="{3A9439D8-0AAB-4F63-AE7F-D295A01E782A}" uniqueName="3" name="Column3" queryTableFieldId="3" dataDxfId="24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822E4505-E0A1-4A99-BD1A-F22F46E35429}" name="huffman_results3542" displayName="huffman_results3542" ref="M2:N22" tableType="queryTable" totalsRowShown="0">
  <autoFilter ref="M2:N22" xr:uid="{822E4505-E0A1-4A99-BD1A-F22F46E35429}"/>
  <tableColumns count="2">
    <tableColumn id="2" xr3:uid="{8DDFB063-3328-409D-858C-41BBF39D5BB6}" uniqueName="2" name="Column2" queryTableFieldId="2"/>
    <tableColumn id="3" xr3:uid="{B5E9AFB6-F08A-4404-8882-52FA1684436F}" uniqueName="3" name="Column3" queryTableFieldId="3" dataDxfId="23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AA78D28-A049-4C48-9573-424400D0154C}" name="huffman_results353643" displayName="huffman_results353643" ref="P2:Q22" tableType="queryTable" totalsRowShown="0">
  <autoFilter ref="P2:Q22" xr:uid="{6AA78D28-A049-4C48-9573-424400D0154C}"/>
  <tableColumns count="2">
    <tableColumn id="2" xr3:uid="{9A12C189-F7B4-413C-A1A4-25D2FC3EE7F0}" uniqueName="2" name="Column2" queryTableFieldId="2"/>
    <tableColumn id="3" xr3:uid="{94694679-4858-4888-BCBA-785CCE13825A}" uniqueName="3" name="Column3" queryTableFieldId="3" dataDxf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drawing" Target="../drawings/drawing3.xml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drawing" Target="../drawings/drawing4.xml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drawing" Target="../drawings/drawing5.xml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drawing" Target="../drawings/drawing6.xml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F2CE-5E23-4EC1-A6AA-5DB9990FC8AB}">
  <dimension ref="A1:W22"/>
  <sheetViews>
    <sheetView tabSelected="1" workbookViewId="0">
      <selection activeCell="W30" sqref="W30"/>
    </sheetView>
  </sheetViews>
  <sheetFormatPr defaultRowHeight="15" x14ac:dyDescent="0.25"/>
  <cols>
    <col min="1" max="1" width="9" bestFit="1" customWidth="1"/>
    <col min="2" max="3" width="14.140625" bestFit="1" customWidth="1"/>
    <col min="4" max="4" width="7.5703125" customWidth="1"/>
    <col min="5" max="5" width="9" bestFit="1" customWidth="1"/>
    <col min="6" max="6" width="14.140625" bestFit="1" customWidth="1"/>
    <col min="7" max="7" width="18.42578125" bestFit="1" customWidth="1"/>
    <col min="9" max="9" width="9" bestFit="1" customWidth="1"/>
    <col min="10" max="10" width="14.140625" bestFit="1" customWidth="1"/>
    <col min="11" max="11" width="18.42578125" bestFit="1" customWidth="1"/>
    <col min="14" max="14" width="14.140625" bestFit="1" customWidth="1"/>
    <col min="15" max="15" width="18.42578125" bestFit="1" customWidth="1"/>
    <col min="18" max="18" width="14.140625" bestFit="1" customWidth="1"/>
    <col min="19" max="19" width="18.42578125" bestFit="1" customWidth="1"/>
    <col min="22" max="22" width="14.140625" bestFit="1" customWidth="1"/>
    <col min="23" max="23" width="18.42578125" bestFit="1" customWidth="1"/>
  </cols>
  <sheetData>
    <row r="1" spans="1:23" x14ac:dyDescent="0.25">
      <c r="A1" s="2" t="s">
        <v>5</v>
      </c>
      <c r="B1" s="2"/>
      <c r="C1" s="2"/>
      <c r="E1" s="2" t="s">
        <v>6</v>
      </c>
      <c r="F1" s="2"/>
      <c r="G1" s="2"/>
      <c r="I1" s="2" t="s">
        <v>7</v>
      </c>
      <c r="J1" s="2"/>
      <c r="K1" s="2"/>
      <c r="M1" s="2" t="s">
        <v>8</v>
      </c>
      <c r="N1" s="2"/>
      <c r="O1" s="2"/>
      <c r="Q1" s="2" t="s">
        <v>9</v>
      </c>
      <c r="R1" s="2"/>
      <c r="S1" s="2"/>
      <c r="U1" s="2" t="s">
        <v>10</v>
      </c>
      <c r="V1" s="2"/>
      <c r="W1" s="2"/>
    </row>
    <row r="2" spans="1:23" x14ac:dyDescent="0.25">
      <c r="A2" t="s">
        <v>0</v>
      </c>
      <c r="B2" t="s">
        <v>1</v>
      </c>
      <c r="C2" t="s">
        <v>2</v>
      </c>
      <c r="E2" t="s">
        <v>0</v>
      </c>
      <c r="F2" t="s">
        <v>1</v>
      </c>
      <c r="G2" t="s">
        <v>2</v>
      </c>
      <c r="I2" t="s">
        <v>0</v>
      </c>
      <c r="J2" t="s">
        <v>1</v>
      </c>
      <c r="K2" t="s">
        <v>2</v>
      </c>
      <c r="M2" t="s">
        <v>0</v>
      </c>
      <c r="N2" t="s">
        <v>1</v>
      </c>
      <c r="O2" t="s">
        <v>2</v>
      </c>
      <c r="Q2" t="s">
        <v>0</v>
      </c>
      <c r="R2" t="s">
        <v>1</v>
      </c>
      <c r="S2" t="s">
        <v>2</v>
      </c>
      <c r="U2" t="s">
        <v>0</v>
      </c>
      <c r="V2" t="s">
        <v>1</v>
      </c>
      <c r="W2" t="s">
        <v>2</v>
      </c>
    </row>
    <row r="3" spans="1:23" x14ac:dyDescent="0.25">
      <c r="A3">
        <v>100</v>
      </c>
      <c r="B3">
        <v>2.1000000000000001E-2</v>
      </c>
      <c r="C3">
        <v>3.5999999999999997E-2</v>
      </c>
      <c r="E3">
        <v>100</v>
      </c>
      <c r="F3">
        <v>2.1999999999999999E-2</v>
      </c>
      <c r="G3">
        <v>3.3000000000000002E-2</v>
      </c>
      <c r="I3">
        <v>100</v>
      </c>
      <c r="J3">
        <v>3.2000000000000001E-2</v>
      </c>
      <c r="K3">
        <v>1.7999999999999999E-2</v>
      </c>
      <c r="M3">
        <v>100</v>
      </c>
      <c r="N3">
        <v>2.1999999999999999E-2</v>
      </c>
      <c r="O3">
        <v>1.4E-2</v>
      </c>
      <c r="Q3">
        <v>100</v>
      </c>
      <c r="R3">
        <v>2.1999999999999999E-2</v>
      </c>
      <c r="S3">
        <v>1.4E-2</v>
      </c>
      <c r="U3">
        <v>100</v>
      </c>
      <c r="V3" s="1">
        <f>AVERAGE(B3,F3,J3,N3,R3)</f>
        <v>2.3799999999999998E-2</v>
      </c>
      <c r="W3" s="1">
        <f>AVERAGE(C3,G3,K3,O3,S3)</f>
        <v>2.3E-2</v>
      </c>
    </row>
    <row r="4" spans="1:23" x14ac:dyDescent="0.25">
      <c r="A4">
        <v>200</v>
      </c>
      <c r="B4">
        <v>6.0999999999999999E-2</v>
      </c>
      <c r="C4">
        <v>9.2999999999999999E-2</v>
      </c>
      <c r="E4">
        <v>200</v>
      </c>
      <c r="F4">
        <v>8.3000000000000004E-2</v>
      </c>
      <c r="G4">
        <v>8.2000000000000003E-2</v>
      </c>
      <c r="I4">
        <v>200</v>
      </c>
      <c r="J4">
        <v>6.2E-2</v>
      </c>
      <c r="K4">
        <v>5.3999999999999999E-2</v>
      </c>
      <c r="M4">
        <v>200</v>
      </c>
      <c r="N4">
        <v>6.0999999999999999E-2</v>
      </c>
      <c r="O4">
        <v>6.3E-2</v>
      </c>
      <c r="Q4">
        <v>200</v>
      </c>
      <c r="R4">
        <v>6.2E-2</v>
      </c>
      <c r="S4">
        <v>5.3999999999999999E-2</v>
      </c>
      <c r="U4">
        <v>200</v>
      </c>
      <c r="V4" s="1">
        <f>AVERAGE(B4,F4,J4,N4,R4)</f>
        <v>6.5799999999999997E-2</v>
      </c>
      <c r="W4" s="1">
        <f t="shared" ref="W4:W22" si="0">AVERAGE(C4,G4,K4,O4,S4)</f>
        <v>6.9199999999999998E-2</v>
      </c>
    </row>
    <row r="5" spans="1:23" x14ac:dyDescent="0.25">
      <c r="A5">
        <v>300</v>
      </c>
      <c r="B5">
        <v>0.193</v>
      </c>
      <c r="C5">
        <v>0.2</v>
      </c>
      <c r="E5">
        <v>300</v>
      </c>
      <c r="F5">
        <v>0.10199999999999999</v>
      </c>
      <c r="G5">
        <v>0.123</v>
      </c>
      <c r="I5">
        <v>300</v>
      </c>
      <c r="J5">
        <v>0.10199999999999999</v>
      </c>
      <c r="K5">
        <v>0.11899999999999999</v>
      </c>
      <c r="M5">
        <v>300</v>
      </c>
      <c r="N5">
        <v>0.10199999999999999</v>
      </c>
      <c r="O5">
        <v>0.11799999999999999</v>
      </c>
      <c r="Q5">
        <v>300</v>
      </c>
      <c r="R5">
        <v>0.10100000000000001</v>
      </c>
      <c r="S5">
        <v>0.20899999999999999</v>
      </c>
      <c r="U5">
        <v>300</v>
      </c>
      <c r="V5" s="1">
        <f>AVERAGE(B5,F5,J5,N5,R5)</f>
        <v>0.12</v>
      </c>
      <c r="W5" s="1">
        <f t="shared" si="0"/>
        <v>0.15379999999999999</v>
      </c>
    </row>
    <row r="6" spans="1:23" x14ac:dyDescent="0.25">
      <c r="A6">
        <v>400</v>
      </c>
      <c r="B6">
        <v>0.14099999999999999</v>
      </c>
      <c r="C6">
        <v>0.20699999999999999</v>
      </c>
      <c r="E6">
        <v>400</v>
      </c>
      <c r="F6">
        <v>0.248</v>
      </c>
      <c r="G6">
        <v>0.33600000000000002</v>
      </c>
      <c r="I6">
        <v>400</v>
      </c>
      <c r="J6">
        <v>0.14299999999999999</v>
      </c>
      <c r="K6">
        <v>0.20899999999999999</v>
      </c>
      <c r="M6">
        <v>400</v>
      </c>
      <c r="N6">
        <v>0.14199999999999999</v>
      </c>
      <c r="O6">
        <v>0.32400000000000001</v>
      </c>
      <c r="Q6">
        <v>400</v>
      </c>
      <c r="R6">
        <v>0.14399999999999999</v>
      </c>
      <c r="S6">
        <v>0.20799999999999999</v>
      </c>
      <c r="U6">
        <v>400</v>
      </c>
      <c r="V6" s="1">
        <f>AVERAGE(B6,F6,J6,N6,R6)</f>
        <v>0.16360000000000002</v>
      </c>
      <c r="W6" s="1">
        <f t="shared" si="0"/>
        <v>0.25680000000000003</v>
      </c>
    </row>
    <row r="7" spans="1:23" x14ac:dyDescent="0.25">
      <c r="A7">
        <v>500</v>
      </c>
      <c r="B7">
        <v>0.18</v>
      </c>
      <c r="C7">
        <v>0.31900000000000001</v>
      </c>
      <c r="E7">
        <v>500</v>
      </c>
      <c r="F7">
        <v>0.18099999999999999</v>
      </c>
      <c r="G7">
        <v>0.33</v>
      </c>
      <c r="I7">
        <v>500</v>
      </c>
      <c r="J7">
        <v>0.33</v>
      </c>
      <c r="K7">
        <v>0.57899999999999996</v>
      </c>
      <c r="M7">
        <v>500</v>
      </c>
      <c r="N7">
        <v>0.183</v>
      </c>
      <c r="O7">
        <v>0.32100000000000001</v>
      </c>
      <c r="Q7">
        <v>500</v>
      </c>
      <c r="R7">
        <v>0.183</v>
      </c>
      <c r="S7">
        <v>0.32300000000000001</v>
      </c>
      <c r="U7">
        <v>500</v>
      </c>
      <c r="V7" s="1">
        <f>AVERAGE(B7,F7,J7,N7,R7)</f>
        <v>0.21140000000000003</v>
      </c>
      <c r="W7" s="1">
        <f t="shared" si="0"/>
        <v>0.37439999999999996</v>
      </c>
    </row>
    <row r="8" spans="1:23" x14ac:dyDescent="0.25">
      <c r="A8">
        <v>600</v>
      </c>
      <c r="B8">
        <v>0.217</v>
      </c>
      <c r="C8">
        <v>0.45300000000000001</v>
      </c>
      <c r="E8">
        <v>600</v>
      </c>
      <c r="F8">
        <v>0.23899999999999999</v>
      </c>
      <c r="G8">
        <v>0.46</v>
      </c>
      <c r="I8">
        <v>600</v>
      </c>
      <c r="J8">
        <v>0.221</v>
      </c>
      <c r="K8">
        <v>0.46800000000000003</v>
      </c>
      <c r="M8">
        <v>600</v>
      </c>
      <c r="N8">
        <v>0.22</v>
      </c>
      <c r="O8">
        <v>0.46899999999999997</v>
      </c>
      <c r="Q8">
        <v>600</v>
      </c>
      <c r="R8">
        <v>0.221</v>
      </c>
      <c r="S8">
        <v>0.46899999999999997</v>
      </c>
      <c r="U8">
        <v>600</v>
      </c>
      <c r="V8" s="1">
        <f>AVERAGE(B8,F8,J8,N8,R8)</f>
        <v>0.22359999999999997</v>
      </c>
      <c r="W8" s="1">
        <f t="shared" si="0"/>
        <v>0.46379999999999999</v>
      </c>
    </row>
    <row r="9" spans="1:23" x14ac:dyDescent="0.25">
      <c r="A9">
        <v>700</v>
      </c>
      <c r="B9">
        <v>0.379</v>
      </c>
      <c r="C9">
        <v>0.66100000000000003</v>
      </c>
      <c r="E9">
        <v>700</v>
      </c>
      <c r="F9">
        <v>0.26</v>
      </c>
      <c r="G9">
        <v>0.624</v>
      </c>
      <c r="I9">
        <v>700</v>
      </c>
      <c r="J9">
        <v>0.40300000000000002</v>
      </c>
      <c r="K9">
        <v>0.873</v>
      </c>
      <c r="M9">
        <v>700</v>
      </c>
      <c r="N9">
        <v>0.26100000000000001</v>
      </c>
      <c r="O9">
        <v>0.63300000000000001</v>
      </c>
      <c r="Q9">
        <v>700</v>
      </c>
      <c r="R9">
        <v>0.26900000000000002</v>
      </c>
      <c r="S9">
        <v>0.63200000000000001</v>
      </c>
      <c r="U9">
        <v>700</v>
      </c>
      <c r="V9" s="1">
        <f>AVERAGE(B9,F9,J9,N9,R9)</f>
        <v>0.31440000000000001</v>
      </c>
      <c r="W9" s="1">
        <f t="shared" si="0"/>
        <v>0.6846000000000001</v>
      </c>
    </row>
    <row r="10" spans="1:23" x14ac:dyDescent="0.25">
      <c r="A10">
        <v>800</v>
      </c>
      <c r="B10">
        <v>0.3</v>
      </c>
      <c r="C10">
        <v>0.80900000000000005</v>
      </c>
      <c r="E10">
        <v>800</v>
      </c>
      <c r="F10">
        <v>0.3</v>
      </c>
      <c r="G10">
        <v>0.81599999999999995</v>
      </c>
      <c r="I10">
        <v>800</v>
      </c>
      <c r="J10">
        <v>0.30199999999999999</v>
      </c>
      <c r="K10">
        <v>0.83099999999999996</v>
      </c>
      <c r="M10">
        <v>800</v>
      </c>
      <c r="N10">
        <v>0.3</v>
      </c>
      <c r="O10">
        <v>0.89900000000000002</v>
      </c>
      <c r="Q10">
        <v>800</v>
      </c>
      <c r="R10">
        <v>0.40899999999999997</v>
      </c>
      <c r="S10">
        <v>1.1819999999999999</v>
      </c>
      <c r="U10">
        <v>800</v>
      </c>
      <c r="V10" s="1">
        <f>AVERAGE(B10,F10,J10,N10,R10)</f>
        <v>0.32219999999999999</v>
      </c>
      <c r="W10" s="1">
        <f t="shared" si="0"/>
        <v>0.90739999999999998</v>
      </c>
    </row>
    <row r="11" spans="1:23" x14ac:dyDescent="0.25">
      <c r="A11">
        <v>900</v>
      </c>
      <c r="B11">
        <v>0.57999999999999996</v>
      </c>
      <c r="C11">
        <v>1.042</v>
      </c>
      <c r="E11">
        <v>900</v>
      </c>
      <c r="F11">
        <v>0.38700000000000001</v>
      </c>
      <c r="G11">
        <v>1.0329999999999999</v>
      </c>
      <c r="I11">
        <v>900</v>
      </c>
      <c r="J11">
        <v>0.34200000000000003</v>
      </c>
      <c r="K11">
        <v>1.522</v>
      </c>
      <c r="M11">
        <v>900</v>
      </c>
      <c r="N11">
        <v>0.34300000000000003</v>
      </c>
      <c r="O11">
        <v>1.619</v>
      </c>
      <c r="Q11">
        <v>900</v>
      </c>
      <c r="R11">
        <v>0.60099999999999998</v>
      </c>
      <c r="S11">
        <v>1.0289999999999999</v>
      </c>
      <c r="U11">
        <v>900</v>
      </c>
      <c r="V11" s="1">
        <f>AVERAGE(B11,F11,J11,N11,R11)</f>
        <v>0.4506</v>
      </c>
      <c r="W11" s="1">
        <f t="shared" si="0"/>
        <v>1.2490000000000001</v>
      </c>
    </row>
    <row r="12" spans="1:23" x14ac:dyDescent="0.25">
      <c r="A12">
        <v>1000</v>
      </c>
      <c r="B12">
        <v>0.39800000000000002</v>
      </c>
      <c r="C12">
        <v>1.3</v>
      </c>
      <c r="E12">
        <v>1000</v>
      </c>
      <c r="F12">
        <v>0.47</v>
      </c>
      <c r="G12">
        <v>1.274</v>
      </c>
      <c r="I12">
        <v>1000</v>
      </c>
      <c r="J12">
        <v>0.38500000000000001</v>
      </c>
      <c r="K12">
        <v>1.2809999999999999</v>
      </c>
      <c r="M12">
        <v>1000</v>
      </c>
      <c r="N12">
        <v>0.67300000000000004</v>
      </c>
      <c r="O12">
        <v>1.2809999999999999</v>
      </c>
      <c r="Q12">
        <v>1000</v>
      </c>
      <c r="R12">
        <v>0.38900000000000001</v>
      </c>
      <c r="S12">
        <v>1.2869999999999999</v>
      </c>
      <c r="U12">
        <v>1000</v>
      </c>
      <c r="V12" s="1">
        <f>AVERAGE(B12,F12,J12,N12,R12)</f>
        <v>0.46300000000000008</v>
      </c>
      <c r="W12" s="1">
        <f t="shared" si="0"/>
        <v>1.2845999999999997</v>
      </c>
    </row>
    <row r="13" spans="1:23" x14ac:dyDescent="0.25">
      <c r="A13">
        <v>1100</v>
      </c>
      <c r="B13">
        <v>0.70899999999999996</v>
      </c>
      <c r="C13">
        <v>1.536</v>
      </c>
      <c r="E13">
        <v>1100</v>
      </c>
      <c r="F13">
        <v>0.46300000000000002</v>
      </c>
      <c r="G13">
        <v>1.5429999999999999</v>
      </c>
      <c r="I13">
        <v>1100</v>
      </c>
      <c r="J13">
        <v>0.42699999999999999</v>
      </c>
      <c r="K13">
        <v>1.647</v>
      </c>
      <c r="M13">
        <v>1100</v>
      </c>
      <c r="N13">
        <v>0.42</v>
      </c>
      <c r="O13">
        <v>1.94</v>
      </c>
      <c r="Q13">
        <v>1100</v>
      </c>
      <c r="R13">
        <v>0.41699999999999998</v>
      </c>
      <c r="S13">
        <v>1.5680000000000001</v>
      </c>
      <c r="U13">
        <v>1100</v>
      </c>
      <c r="V13" s="1">
        <f>AVERAGE(B13,F13,J13,N13,R13)</f>
        <v>0.48719999999999997</v>
      </c>
      <c r="W13" s="1">
        <f t="shared" si="0"/>
        <v>1.6468</v>
      </c>
    </row>
    <row r="14" spans="1:23" x14ac:dyDescent="0.25">
      <c r="A14">
        <v>1200</v>
      </c>
      <c r="B14">
        <v>0.45500000000000002</v>
      </c>
      <c r="C14">
        <v>2.5459999999999998</v>
      </c>
      <c r="E14">
        <v>1200</v>
      </c>
      <c r="F14">
        <v>0.46800000000000003</v>
      </c>
      <c r="G14">
        <v>2.121</v>
      </c>
      <c r="I14">
        <v>1200</v>
      </c>
      <c r="J14">
        <v>0.76800000000000002</v>
      </c>
      <c r="K14">
        <v>1.885</v>
      </c>
      <c r="M14">
        <v>1200</v>
      </c>
      <c r="N14">
        <v>0.73699999999999999</v>
      </c>
      <c r="O14">
        <v>1.8340000000000001</v>
      </c>
      <c r="Q14">
        <v>1200</v>
      </c>
      <c r="R14">
        <v>0.82499999999999996</v>
      </c>
      <c r="S14">
        <v>2.0680000000000001</v>
      </c>
      <c r="U14">
        <v>1200</v>
      </c>
      <c r="V14" s="1">
        <f>AVERAGE(B14,F14,J14,N14,R14)</f>
        <v>0.65060000000000007</v>
      </c>
      <c r="W14" s="1">
        <f t="shared" si="0"/>
        <v>2.0907999999999998</v>
      </c>
    </row>
    <row r="15" spans="1:23" x14ac:dyDescent="0.25">
      <c r="A15">
        <v>1300</v>
      </c>
      <c r="B15">
        <v>0.751</v>
      </c>
      <c r="C15">
        <v>2.3919999999999999</v>
      </c>
      <c r="E15">
        <v>1300</v>
      </c>
      <c r="F15">
        <v>1.0660000000000001</v>
      </c>
      <c r="G15">
        <v>2.1909999999999998</v>
      </c>
      <c r="I15">
        <v>1300</v>
      </c>
      <c r="J15">
        <v>0.51900000000000002</v>
      </c>
      <c r="K15">
        <v>2.1859999999999999</v>
      </c>
      <c r="M15">
        <v>1300</v>
      </c>
      <c r="N15">
        <v>0.51800000000000002</v>
      </c>
      <c r="O15">
        <v>2.2370000000000001</v>
      </c>
      <c r="Q15">
        <v>1300</v>
      </c>
      <c r="R15">
        <v>0.50600000000000001</v>
      </c>
      <c r="S15">
        <v>2.165</v>
      </c>
      <c r="U15">
        <v>1300</v>
      </c>
      <c r="V15" s="1">
        <f>AVERAGE(B15,F15,J15,N15,R15)</f>
        <v>0.67200000000000004</v>
      </c>
      <c r="W15" s="1">
        <f t="shared" si="0"/>
        <v>2.2342</v>
      </c>
    </row>
    <row r="16" spans="1:23" x14ac:dyDescent="0.25">
      <c r="A16">
        <v>1400</v>
      </c>
      <c r="B16">
        <v>0.53700000000000003</v>
      </c>
      <c r="C16">
        <v>2.4740000000000002</v>
      </c>
      <c r="E16">
        <v>1400</v>
      </c>
      <c r="F16">
        <v>0.96399999999999997</v>
      </c>
      <c r="G16">
        <v>2.5950000000000002</v>
      </c>
      <c r="I16">
        <v>1400</v>
      </c>
      <c r="J16">
        <v>0.69399999999999995</v>
      </c>
      <c r="K16">
        <v>2.867</v>
      </c>
      <c r="M16">
        <v>1400</v>
      </c>
      <c r="N16">
        <v>0.53600000000000003</v>
      </c>
      <c r="O16">
        <v>2.4790000000000001</v>
      </c>
      <c r="Q16">
        <v>1400</v>
      </c>
      <c r="R16">
        <v>0.89400000000000002</v>
      </c>
      <c r="S16">
        <v>2.4729999999999999</v>
      </c>
      <c r="U16">
        <v>1400</v>
      </c>
      <c r="V16" s="1">
        <f>AVERAGE(B16,F16,J16,N16,R16)</f>
        <v>0.72499999999999998</v>
      </c>
      <c r="W16" s="1">
        <f t="shared" si="0"/>
        <v>2.5776000000000003</v>
      </c>
    </row>
    <row r="17" spans="1:23" x14ac:dyDescent="0.25">
      <c r="A17">
        <v>1500</v>
      </c>
      <c r="B17">
        <v>0.82299999999999995</v>
      </c>
      <c r="C17">
        <v>3.4460000000000002</v>
      </c>
      <c r="E17">
        <v>1500</v>
      </c>
      <c r="F17">
        <v>0.75900000000000001</v>
      </c>
      <c r="G17">
        <v>3.1549999999999998</v>
      </c>
      <c r="I17">
        <v>1500</v>
      </c>
      <c r="J17">
        <v>0.96799999999999997</v>
      </c>
      <c r="K17">
        <v>2.86</v>
      </c>
      <c r="M17">
        <v>1500</v>
      </c>
      <c r="N17">
        <v>0.57399999999999995</v>
      </c>
      <c r="O17">
        <v>2.847</v>
      </c>
      <c r="Q17">
        <v>1500</v>
      </c>
      <c r="R17">
        <v>0.91100000000000003</v>
      </c>
      <c r="S17">
        <v>3.645</v>
      </c>
      <c r="U17">
        <v>1500</v>
      </c>
      <c r="V17" s="1">
        <f>AVERAGE(B17,F17,J17,N17,R17)</f>
        <v>0.80700000000000005</v>
      </c>
      <c r="W17" s="1">
        <f t="shared" si="0"/>
        <v>3.1905999999999999</v>
      </c>
    </row>
    <row r="18" spans="1:23" x14ac:dyDescent="0.25">
      <c r="A18">
        <v>1600</v>
      </c>
      <c r="B18">
        <v>1.048</v>
      </c>
      <c r="C18">
        <v>3.6989999999999998</v>
      </c>
      <c r="E18">
        <v>1600</v>
      </c>
      <c r="F18">
        <v>1.0980000000000001</v>
      </c>
      <c r="G18">
        <v>3.319</v>
      </c>
      <c r="I18">
        <v>1600</v>
      </c>
      <c r="J18">
        <v>1.117</v>
      </c>
      <c r="K18">
        <v>3.823</v>
      </c>
      <c r="M18">
        <v>1600</v>
      </c>
      <c r="N18">
        <v>0.65400000000000003</v>
      </c>
      <c r="O18">
        <v>3.3759999999999999</v>
      </c>
      <c r="Q18">
        <v>1600</v>
      </c>
      <c r="R18">
        <v>0.93</v>
      </c>
      <c r="S18">
        <v>3.2559999999999998</v>
      </c>
      <c r="U18">
        <v>1600</v>
      </c>
      <c r="V18" s="1">
        <f>AVERAGE(B18,F18,J18,N18,R18)</f>
        <v>0.96939999999999993</v>
      </c>
      <c r="W18" s="1">
        <f t="shared" si="0"/>
        <v>3.4945999999999997</v>
      </c>
    </row>
    <row r="19" spans="1:23" x14ac:dyDescent="0.25">
      <c r="A19">
        <v>1700</v>
      </c>
      <c r="B19">
        <v>1.202</v>
      </c>
      <c r="C19">
        <v>3.681</v>
      </c>
      <c r="E19">
        <v>1700</v>
      </c>
      <c r="F19">
        <v>1.2150000000000001</v>
      </c>
      <c r="G19">
        <v>3.8809999999999998</v>
      </c>
      <c r="I19">
        <v>1700</v>
      </c>
      <c r="J19">
        <v>1.115</v>
      </c>
      <c r="K19">
        <v>4.17</v>
      </c>
      <c r="M19">
        <v>1700</v>
      </c>
      <c r="N19">
        <v>0.65800000000000003</v>
      </c>
      <c r="O19">
        <v>4.4219999999999997</v>
      </c>
      <c r="Q19">
        <v>1700</v>
      </c>
      <c r="R19">
        <v>0.66100000000000003</v>
      </c>
      <c r="S19">
        <v>3.66</v>
      </c>
      <c r="U19">
        <v>1700</v>
      </c>
      <c r="V19" s="1">
        <f>AVERAGE(B19,F19,J19,N19,R19)</f>
        <v>0.97020000000000017</v>
      </c>
      <c r="W19" s="1">
        <f t="shared" si="0"/>
        <v>3.9628000000000001</v>
      </c>
    </row>
    <row r="20" spans="1:23" x14ac:dyDescent="0.25">
      <c r="A20">
        <v>1800</v>
      </c>
      <c r="B20">
        <v>0.69899999999999995</v>
      </c>
      <c r="C20">
        <v>4.0579999999999998</v>
      </c>
      <c r="E20">
        <v>1800</v>
      </c>
      <c r="F20">
        <v>1.1639999999999999</v>
      </c>
      <c r="G20">
        <v>4.08</v>
      </c>
      <c r="I20">
        <v>1800</v>
      </c>
      <c r="J20">
        <v>1.1100000000000001</v>
      </c>
      <c r="K20">
        <v>4.0990000000000002</v>
      </c>
      <c r="M20">
        <v>1800</v>
      </c>
      <c r="N20">
        <v>0.73</v>
      </c>
      <c r="O20">
        <v>4.3150000000000004</v>
      </c>
      <c r="Q20">
        <v>1800</v>
      </c>
      <c r="R20">
        <v>1.2290000000000001</v>
      </c>
      <c r="S20">
        <v>4.181</v>
      </c>
      <c r="U20">
        <v>1800</v>
      </c>
      <c r="V20" s="1">
        <f>AVERAGE(B20,F20,J20,N20,R20)</f>
        <v>0.98640000000000005</v>
      </c>
      <c r="W20" s="1">
        <f t="shared" si="0"/>
        <v>4.1466000000000003</v>
      </c>
    </row>
    <row r="21" spans="1:23" x14ac:dyDescent="0.25">
      <c r="A21">
        <v>1900</v>
      </c>
      <c r="B21">
        <v>0.74</v>
      </c>
      <c r="C21">
        <v>4.6420000000000003</v>
      </c>
      <c r="E21">
        <v>1900</v>
      </c>
      <c r="F21">
        <v>0.73</v>
      </c>
      <c r="G21">
        <v>4.5549999999999997</v>
      </c>
      <c r="I21">
        <v>1900</v>
      </c>
      <c r="J21">
        <v>1.175</v>
      </c>
      <c r="K21">
        <v>4.9240000000000004</v>
      </c>
      <c r="M21">
        <v>1900</v>
      </c>
      <c r="N21">
        <v>0.75</v>
      </c>
      <c r="O21">
        <v>4.5860000000000003</v>
      </c>
      <c r="Q21">
        <v>1900</v>
      </c>
      <c r="R21">
        <v>1.371</v>
      </c>
      <c r="S21">
        <v>4.577</v>
      </c>
      <c r="U21">
        <v>1900</v>
      </c>
      <c r="V21" s="1">
        <f>AVERAGE(B21,F21,J21,N21,R21)</f>
        <v>0.95320000000000005</v>
      </c>
      <c r="W21" s="1">
        <f t="shared" si="0"/>
        <v>4.6567999999999996</v>
      </c>
    </row>
    <row r="22" spans="1:23" x14ac:dyDescent="0.25">
      <c r="A22">
        <v>2000</v>
      </c>
      <c r="B22">
        <v>1.0289999999999999</v>
      </c>
      <c r="C22">
        <v>5.0780000000000003</v>
      </c>
      <c r="E22">
        <v>2000</v>
      </c>
      <c r="F22">
        <v>1.2609999999999999</v>
      </c>
      <c r="G22">
        <v>5.2380000000000004</v>
      </c>
      <c r="I22">
        <v>2000</v>
      </c>
      <c r="J22">
        <v>0.78200000000000003</v>
      </c>
      <c r="K22">
        <v>5.742</v>
      </c>
      <c r="M22">
        <v>2000</v>
      </c>
      <c r="N22">
        <v>0.78900000000000003</v>
      </c>
      <c r="O22">
        <v>5.1970000000000001</v>
      </c>
      <c r="Q22">
        <v>2000</v>
      </c>
      <c r="R22">
        <v>0.79100000000000004</v>
      </c>
      <c r="S22">
        <v>5.26</v>
      </c>
      <c r="U22">
        <v>2000</v>
      </c>
      <c r="V22" s="1">
        <f>AVERAGE(B22,F22,J22,N22,R22)</f>
        <v>0.9304</v>
      </c>
      <c r="W22" s="1">
        <f t="shared" si="0"/>
        <v>5.3029999999999999</v>
      </c>
    </row>
  </sheetData>
  <mergeCells count="6">
    <mergeCell ref="U1:W1"/>
    <mergeCell ref="A1:C1"/>
    <mergeCell ref="E1:G1"/>
    <mergeCell ref="I1:K1"/>
    <mergeCell ref="M1:O1"/>
    <mergeCell ref="Q1:S1"/>
  </mergeCells>
  <phoneticPr fontId="1" type="noConversion"/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D1B50-017B-4384-99D9-7F6589EC3FD6}">
  <dimension ref="A1:W22"/>
  <sheetViews>
    <sheetView zoomScale="110" workbookViewId="0">
      <selection activeCell="T28" sqref="T28"/>
    </sheetView>
  </sheetViews>
  <sheetFormatPr defaultRowHeight="15" x14ac:dyDescent="0.25"/>
  <cols>
    <col min="1" max="1" width="6.7109375" bestFit="1" customWidth="1"/>
    <col min="2" max="2" width="13.28515625" bestFit="1" customWidth="1"/>
    <col min="3" max="3" width="8.5703125" customWidth="1"/>
    <col min="5" max="5" width="13.28515625" bestFit="1" customWidth="1"/>
    <col min="8" max="8" width="13.28515625" bestFit="1" customWidth="1"/>
    <col min="11" max="11" width="13.28515625" bestFit="1" customWidth="1"/>
    <col min="14" max="14" width="13.28515625" bestFit="1" customWidth="1"/>
  </cols>
  <sheetData>
    <row r="1" spans="1:23" x14ac:dyDescent="0.25">
      <c r="A1" s="2" t="s">
        <v>24</v>
      </c>
      <c r="B1" s="2"/>
      <c r="D1" s="2">
        <v>2</v>
      </c>
      <c r="E1" s="2"/>
      <c r="G1" s="2">
        <v>3</v>
      </c>
      <c r="H1" s="2"/>
      <c r="J1" s="2">
        <v>4</v>
      </c>
      <c r="K1" s="2"/>
      <c r="M1" s="2">
        <v>5</v>
      </c>
      <c r="N1" s="2"/>
      <c r="P1" s="2" t="s">
        <v>10</v>
      </c>
      <c r="Q1" s="2"/>
    </row>
    <row r="2" spans="1:23" x14ac:dyDescent="0.25">
      <c r="A2" t="s">
        <v>0</v>
      </c>
      <c r="B2" t="s">
        <v>11</v>
      </c>
      <c r="D2" t="s">
        <v>0</v>
      </c>
      <c r="E2" t="s">
        <v>11</v>
      </c>
      <c r="G2" t="s">
        <v>0</v>
      </c>
      <c r="H2" t="s">
        <v>11</v>
      </c>
      <c r="J2" t="s">
        <v>0</v>
      </c>
      <c r="K2" t="s">
        <v>11</v>
      </c>
      <c r="M2" t="s">
        <v>0</v>
      </c>
      <c r="N2" t="s">
        <v>11</v>
      </c>
      <c r="P2" t="s">
        <v>0</v>
      </c>
      <c r="Q2" t="s">
        <v>11</v>
      </c>
    </row>
    <row r="3" spans="1:23" x14ac:dyDescent="0.25">
      <c r="A3">
        <v>10</v>
      </c>
      <c r="B3" s="3">
        <v>6.0000000000000001E-3</v>
      </c>
      <c r="D3">
        <v>10</v>
      </c>
      <c r="E3" s="3">
        <v>5.0000000000000001E-3</v>
      </c>
      <c r="G3">
        <v>10</v>
      </c>
      <c r="H3" s="3">
        <v>8.9999999999999993E-3</v>
      </c>
      <c r="J3">
        <v>10</v>
      </c>
      <c r="K3" s="3">
        <v>8.0000000000000002E-3</v>
      </c>
      <c r="M3">
        <v>10</v>
      </c>
      <c r="N3" s="3">
        <v>0.02</v>
      </c>
      <c r="P3">
        <v>10</v>
      </c>
      <c r="Q3" s="3">
        <f>AVERAGE(B3,E3,H3,K3,N3)</f>
        <v>9.6000000000000009E-3</v>
      </c>
    </row>
    <row r="4" spans="1:23" x14ac:dyDescent="0.25">
      <c r="A4">
        <v>11</v>
      </c>
      <c r="B4" s="3">
        <v>1.2999999999999999E-2</v>
      </c>
      <c r="D4">
        <v>11</v>
      </c>
      <c r="E4" s="3">
        <v>1.7000000000000001E-2</v>
      </c>
      <c r="G4">
        <v>11</v>
      </c>
      <c r="H4" s="3">
        <v>1.7000000000000001E-2</v>
      </c>
      <c r="J4">
        <v>11</v>
      </c>
      <c r="K4" s="3">
        <v>1.7000000000000001E-2</v>
      </c>
      <c r="M4">
        <v>11</v>
      </c>
      <c r="N4" s="3">
        <v>1.7000000000000001E-2</v>
      </c>
      <c r="P4">
        <v>11</v>
      </c>
      <c r="Q4" s="3">
        <f t="shared" ref="Q4:Q22" si="0">AVERAGE(B4,E4,H4,K4,N4)</f>
        <v>1.6199999999999999E-2</v>
      </c>
    </row>
    <row r="5" spans="1:23" x14ac:dyDescent="0.25">
      <c r="A5">
        <v>12</v>
      </c>
      <c r="B5" s="3">
        <v>2.4E-2</v>
      </c>
      <c r="D5">
        <v>12</v>
      </c>
      <c r="E5" s="3">
        <v>2.1000000000000001E-2</v>
      </c>
      <c r="G5">
        <v>12</v>
      </c>
      <c r="H5" s="3">
        <v>2.1999999999999999E-2</v>
      </c>
      <c r="J5">
        <v>12</v>
      </c>
      <c r="K5" s="3">
        <v>3.4000000000000002E-2</v>
      </c>
      <c r="M5">
        <v>12</v>
      </c>
      <c r="N5" s="3">
        <v>2.1000000000000001E-2</v>
      </c>
      <c r="P5">
        <v>12</v>
      </c>
      <c r="Q5" s="3">
        <f t="shared" si="0"/>
        <v>2.4400000000000002E-2</v>
      </c>
    </row>
    <row r="6" spans="1:23" x14ac:dyDescent="0.25">
      <c r="A6">
        <v>13</v>
      </c>
      <c r="B6" s="3">
        <v>8.6999999999999994E-2</v>
      </c>
      <c r="D6">
        <v>13</v>
      </c>
      <c r="E6" s="3">
        <v>4.2000000000000003E-2</v>
      </c>
      <c r="G6">
        <v>13</v>
      </c>
      <c r="H6" s="3">
        <v>6.8000000000000005E-2</v>
      </c>
      <c r="J6">
        <v>13</v>
      </c>
      <c r="K6" s="3">
        <v>4.4999999999999998E-2</v>
      </c>
      <c r="M6">
        <v>13</v>
      </c>
      <c r="N6" s="3">
        <v>6.8000000000000005E-2</v>
      </c>
      <c r="P6">
        <v>13</v>
      </c>
      <c r="Q6" s="3">
        <f t="shared" si="0"/>
        <v>6.2E-2</v>
      </c>
    </row>
    <row r="7" spans="1:23" x14ac:dyDescent="0.25">
      <c r="A7">
        <v>14</v>
      </c>
      <c r="B7" s="3">
        <v>0.154</v>
      </c>
      <c r="D7">
        <v>14</v>
      </c>
      <c r="E7" s="3">
        <v>9.0999999999999998E-2</v>
      </c>
      <c r="G7">
        <v>14</v>
      </c>
      <c r="H7" s="3">
        <v>0.13300000000000001</v>
      </c>
      <c r="J7">
        <v>14</v>
      </c>
      <c r="K7" s="3">
        <v>0.129</v>
      </c>
      <c r="M7">
        <v>14</v>
      </c>
      <c r="N7" s="3">
        <v>0.13200000000000001</v>
      </c>
      <c r="P7">
        <v>14</v>
      </c>
      <c r="Q7" s="3">
        <f t="shared" si="0"/>
        <v>0.1278</v>
      </c>
      <c r="U7" s="4"/>
      <c r="V7" s="4"/>
      <c r="W7" s="4"/>
    </row>
    <row r="8" spans="1:23" x14ac:dyDescent="0.25">
      <c r="A8">
        <v>15</v>
      </c>
      <c r="B8" s="3">
        <v>0.29199999999999998</v>
      </c>
      <c r="D8">
        <v>15</v>
      </c>
      <c r="E8" s="3">
        <v>0.16800000000000001</v>
      </c>
      <c r="G8">
        <v>15</v>
      </c>
      <c r="H8" s="3">
        <v>0.22700000000000001</v>
      </c>
      <c r="J8">
        <v>15</v>
      </c>
      <c r="K8" s="3">
        <v>0.22600000000000001</v>
      </c>
      <c r="M8">
        <v>15</v>
      </c>
      <c r="N8" s="3">
        <v>0.23100000000000001</v>
      </c>
      <c r="P8">
        <v>15</v>
      </c>
      <c r="Q8" s="3">
        <f t="shared" si="0"/>
        <v>0.22879999999999998</v>
      </c>
    </row>
    <row r="9" spans="1:23" x14ac:dyDescent="0.25">
      <c r="A9">
        <v>16</v>
      </c>
      <c r="B9" s="3">
        <v>0.63200000000000001</v>
      </c>
      <c r="D9">
        <v>16</v>
      </c>
      <c r="E9" s="3">
        <v>0.33600000000000002</v>
      </c>
      <c r="G9">
        <v>16</v>
      </c>
      <c r="H9" s="3">
        <v>0.39900000000000002</v>
      </c>
      <c r="J9">
        <v>16</v>
      </c>
      <c r="K9" s="3">
        <v>0.39200000000000002</v>
      </c>
      <c r="M9">
        <v>16</v>
      </c>
      <c r="N9" s="3">
        <v>0.52</v>
      </c>
      <c r="P9">
        <v>16</v>
      </c>
      <c r="Q9" s="3">
        <f t="shared" si="0"/>
        <v>0.45579999999999998</v>
      </c>
    </row>
    <row r="10" spans="1:23" x14ac:dyDescent="0.25">
      <c r="A10">
        <v>17</v>
      </c>
      <c r="B10" s="3">
        <v>1.327</v>
      </c>
      <c r="D10">
        <v>17</v>
      </c>
      <c r="E10" s="3">
        <v>0.97</v>
      </c>
      <c r="G10">
        <v>17</v>
      </c>
      <c r="H10" s="3">
        <v>1.01</v>
      </c>
      <c r="J10">
        <v>17</v>
      </c>
      <c r="K10" s="3">
        <v>1.133</v>
      </c>
      <c r="M10">
        <v>17</v>
      </c>
      <c r="N10" s="3">
        <v>1.071</v>
      </c>
      <c r="P10">
        <v>17</v>
      </c>
      <c r="Q10" s="3">
        <f t="shared" si="0"/>
        <v>1.1021999999999998</v>
      </c>
    </row>
    <row r="11" spans="1:23" x14ac:dyDescent="0.25">
      <c r="A11">
        <v>18</v>
      </c>
      <c r="B11" s="3">
        <v>2.4660000000000002</v>
      </c>
      <c r="D11">
        <v>18</v>
      </c>
      <c r="E11" s="3">
        <v>1.3640000000000001</v>
      </c>
      <c r="G11">
        <v>18</v>
      </c>
      <c r="H11" s="3">
        <v>2.0539999999999998</v>
      </c>
      <c r="J11">
        <v>18</v>
      </c>
      <c r="K11" s="3">
        <v>1.4059999999999999</v>
      </c>
      <c r="M11">
        <v>18</v>
      </c>
      <c r="N11" s="3">
        <v>2.1589999999999998</v>
      </c>
      <c r="P11">
        <v>18</v>
      </c>
      <c r="Q11" s="3">
        <f t="shared" si="0"/>
        <v>1.8897999999999999</v>
      </c>
    </row>
    <row r="12" spans="1:23" x14ac:dyDescent="0.25">
      <c r="A12">
        <v>19</v>
      </c>
      <c r="B12" s="3">
        <v>4.8140000000000001</v>
      </c>
      <c r="D12">
        <v>19</v>
      </c>
      <c r="E12" s="3">
        <v>3.335</v>
      </c>
      <c r="G12">
        <v>19</v>
      </c>
      <c r="H12" s="3">
        <v>3.9750000000000001</v>
      </c>
      <c r="J12">
        <v>19</v>
      </c>
      <c r="K12" s="3">
        <v>3.0030000000000001</v>
      </c>
      <c r="M12">
        <v>19</v>
      </c>
      <c r="N12" s="3">
        <v>3.58</v>
      </c>
      <c r="P12">
        <v>19</v>
      </c>
      <c r="Q12" s="3">
        <f t="shared" si="0"/>
        <v>3.7414000000000001</v>
      </c>
    </row>
    <row r="13" spans="1:23" x14ac:dyDescent="0.25">
      <c r="A13">
        <v>20</v>
      </c>
      <c r="B13" s="3">
        <v>6.6980000000000004</v>
      </c>
      <c r="D13">
        <v>20</v>
      </c>
      <c r="E13" s="3">
        <v>6.7619999999999996</v>
      </c>
      <c r="G13">
        <v>20</v>
      </c>
      <c r="H13" s="3">
        <v>6.056</v>
      </c>
      <c r="J13">
        <v>20</v>
      </c>
      <c r="K13" s="3">
        <v>9.3879999999999999</v>
      </c>
      <c r="M13">
        <v>20</v>
      </c>
      <c r="N13" s="3">
        <v>7.5609999999999999</v>
      </c>
      <c r="P13">
        <v>20</v>
      </c>
      <c r="Q13" s="3">
        <f t="shared" si="0"/>
        <v>7.293000000000001</v>
      </c>
    </row>
    <row r="14" spans="1:23" x14ac:dyDescent="0.25">
      <c r="A14">
        <v>21</v>
      </c>
      <c r="B14" s="3">
        <v>16.425999999999998</v>
      </c>
      <c r="D14">
        <v>21</v>
      </c>
      <c r="E14" s="3">
        <v>12.420999999999999</v>
      </c>
      <c r="G14">
        <v>21</v>
      </c>
      <c r="H14" s="3">
        <v>12.007999999999999</v>
      </c>
      <c r="J14">
        <v>21</v>
      </c>
      <c r="K14" s="3">
        <v>16.280999999999999</v>
      </c>
      <c r="M14">
        <v>21</v>
      </c>
      <c r="N14" s="3">
        <v>16.657</v>
      </c>
      <c r="P14">
        <v>21</v>
      </c>
      <c r="Q14" s="3">
        <f t="shared" si="0"/>
        <v>14.758599999999998</v>
      </c>
    </row>
    <row r="15" spans="1:23" x14ac:dyDescent="0.25">
      <c r="A15">
        <v>22</v>
      </c>
      <c r="B15" s="3">
        <v>26.122</v>
      </c>
      <c r="D15">
        <v>22</v>
      </c>
      <c r="E15" s="3">
        <v>25.832999999999998</v>
      </c>
      <c r="G15">
        <v>22</v>
      </c>
      <c r="H15" s="3">
        <v>22.952000000000002</v>
      </c>
      <c r="J15">
        <v>22</v>
      </c>
      <c r="K15" s="3">
        <v>32.884</v>
      </c>
      <c r="M15">
        <v>22</v>
      </c>
      <c r="N15" s="3">
        <v>27.766999999999999</v>
      </c>
      <c r="P15">
        <v>22</v>
      </c>
      <c r="Q15" s="3">
        <f t="shared" si="0"/>
        <v>27.111599999999999</v>
      </c>
    </row>
    <row r="16" spans="1:23" x14ac:dyDescent="0.25">
      <c r="A16">
        <v>23</v>
      </c>
      <c r="B16" s="3">
        <v>49.767000000000003</v>
      </c>
      <c r="D16">
        <v>23</v>
      </c>
      <c r="E16" s="3">
        <v>48.076999999999998</v>
      </c>
      <c r="G16">
        <v>23</v>
      </c>
      <c r="H16" s="3">
        <v>45.505000000000003</v>
      </c>
      <c r="J16">
        <v>23</v>
      </c>
      <c r="K16" s="3">
        <v>50.66</v>
      </c>
      <c r="M16">
        <v>23</v>
      </c>
      <c r="N16" s="3">
        <v>50.981000000000002</v>
      </c>
      <c r="P16">
        <v>23</v>
      </c>
      <c r="Q16" s="3">
        <f t="shared" si="0"/>
        <v>48.997999999999998</v>
      </c>
    </row>
    <row r="17" spans="1:17" x14ac:dyDescent="0.25">
      <c r="A17">
        <v>24</v>
      </c>
      <c r="B17" s="3">
        <v>107.066</v>
      </c>
      <c r="D17">
        <v>24</v>
      </c>
      <c r="E17" s="3">
        <v>100.899</v>
      </c>
      <c r="G17">
        <v>24</v>
      </c>
      <c r="H17" s="3">
        <v>90.546999999999997</v>
      </c>
      <c r="J17">
        <v>24</v>
      </c>
      <c r="K17" s="3">
        <v>90.695999999999998</v>
      </c>
      <c r="M17">
        <v>24</v>
      </c>
      <c r="N17" s="3">
        <v>93.91</v>
      </c>
      <c r="P17">
        <v>24</v>
      </c>
      <c r="Q17" s="3">
        <f t="shared" si="0"/>
        <v>96.623599999999982</v>
      </c>
    </row>
    <row r="18" spans="1:17" x14ac:dyDescent="0.25">
      <c r="A18">
        <v>25</v>
      </c>
      <c r="B18" s="3">
        <v>235.85599999999999</v>
      </c>
      <c r="D18">
        <v>25</v>
      </c>
      <c r="E18" s="3">
        <v>205.262</v>
      </c>
      <c r="G18">
        <v>25</v>
      </c>
      <c r="H18" s="3">
        <v>190.733</v>
      </c>
      <c r="J18">
        <v>25</v>
      </c>
      <c r="K18" s="3">
        <v>183.292</v>
      </c>
      <c r="M18">
        <v>25</v>
      </c>
      <c r="N18" s="3">
        <v>185.631</v>
      </c>
      <c r="P18">
        <v>25</v>
      </c>
      <c r="Q18" s="3">
        <f t="shared" si="0"/>
        <v>200.15479999999999</v>
      </c>
    </row>
    <row r="19" spans="1:17" x14ac:dyDescent="0.25">
      <c r="A19">
        <v>26</v>
      </c>
      <c r="B19" s="3">
        <v>401.00299999999999</v>
      </c>
      <c r="D19">
        <v>26</v>
      </c>
      <c r="E19" s="3">
        <v>392.23</v>
      </c>
      <c r="G19">
        <v>26</v>
      </c>
      <c r="H19" s="3">
        <v>392.10700000000003</v>
      </c>
      <c r="J19">
        <v>26</v>
      </c>
      <c r="K19" s="3">
        <v>361.096</v>
      </c>
      <c r="M19">
        <v>26</v>
      </c>
      <c r="N19" s="3">
        <v>375.47199999999998</v>
      </c>
      <c r="P19">
        <v>26</v>
      </c>
      <c r="Q19" s="3">
        <f t="shared" si="0"/>
        <v>384.38159999999999</v>
      </c>
    </row>
    <row r="20" spans="1:17" x14ac:dyDescent="0.25">
      <c r="A20">
        <v>27</v>
      </c>
      <c r="B20" s="3">
        <v>808.78499999999997</v>
      </c>
      <c r="D20">
        <v>27</v>
      </c>
      <c r="E20" s="3">
        <v>812.03399999999999</v>
      </c>
      <c r="G20">
        <v>27</v>
      </c>
      <c r="H20" s="3">
        <v>727.774</v>
      </c>
      <c r="J20">
        <v>27</v>
      </c>
      <c r="K20" s="3">
        <v>733.36699999999996</v>
      </c>
      <c r="M20">
        <v>27</v>
      </c>
      <c r="N20" s="3">
        <v>725.30399999999997</v>
      </c>
      <c r="P20">
        <v>27</v>
      </c>
      <c r="Q20" s="3">
        <f t="shared" si="0"/>
        <v>761.45280000000002</v>
      </c>
    </row>
    <row r="21" spans="1:17" x14ac:dyDescent="0.25">
      <c r="A21">
        <v>28</v>
      </c>
      <c r="B21" s="3">
        <v>1486.17</v>
      </c>
      <c r="D21">
        <v>28</v>
      </c>
      <c r="E21" s="3">
        <v>1495.59</v>
      </c>
      <c r="G21">
        <v>28</v>
      </c>
      <c r="H21" s="3">
        <v>1451.25</v>
      </c>
      <c r="J21">
        <v>28</v>
      </c>
      <c r="K21" s="3">
        <v>1462.42</v>
      </c>
      <c r="M21">
        <v>28</v>
      </c>
      <c r="N21" s="3">
        <v>1469.19</v>
      </c>
      <c r="P21">
        <v>28</v>
      </c>
      <c r="Q21" s="3">
        <f t="shared" si="0"/>
        <v>1472.9240000000002</v>
      </c>
    </row>
    <row r="22" spans="1:17" x14ac:dyDescent="0.25">
      <c r="A22">
        <v>29</v>
      </c>
      <c r="B22" s="3">
        <v>2937.16</v>
      </c>
      <c r="D22">
        <v>29</v>
      </c>
      <c r="E22" s="3">
        <v>2920.67</v>
      </c>
      <c r="G22">
        <v>29</v>
      </c>
      <c r="H22" s="3">
        <v>2898.44</v>
      </c>
      <c r="J22">
        <v>29</v>
      </c>
      <c r="K22" s="3">
        <v>2900.98</v>
      </c>
      <c r="M22">
        <v>29</v>
      </c>
      <c r="N22" s="3">
        <v>3916.54</v>
      </c>
      <c r="P22">
        <v>29</v>
      </c>
      <c r="Q22" s="3">
        <f t="shared" si="0"/>
        <v>3114.7580000000003</v>
      </c>
    </row>
  </sheetData>
  <mergeCells count="6"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DD3E-49F4-4D6F-83C9-F7E9BBECD781}">
  <dimension ref="A1:W22"/>
  <sheetViews>
    <sheetView topLeftCell="A3" workbookViewId="0">
      <selection activeCell="G3" sqref="G3"/>
    </sheetView>
  </sheetViews>
  <sheetFormatPr defaultRowHeight="15" x14ac:dyDescent="0.25"/>
  <cols>
    <col min="1" max="1" width="6.7109375" bestFit="1" customWidth="1"/>
    <col min="2" max="2" width="9" bestFit="1" customWidth="1"/>
    <col min="3" max="3" width="16.140625" bestFit="1" customWidth="1"/>
    <col min="4" max="4" width="7.140625" customWidth="1"/>
  </cols>
  <sheetData>
    <row r="1" spans="1:23" x14ac:dyDescent="0.25">
      <c r="A1" s="2">
        <v>1</v>
      </c>
      <c r="B1" s="2"/>
      <c r="C1" s="2"/>
      <c r="E1" s="2">
        <v>2</v>
      </c>
      <c r="F1" s="2"/>
      <c r="G1" s="2"/>
      <c r="I1" s="2">
        <v>3</v>
      </c>
      <c r="J1" s="2"/>
      <c r="K1" s="2"/>
      <c r="M1" s="2">
        <v>4</v>
      </c>
      <c r="N1" s="2"/>
      <c r="O1" s="2"/>
      <c r="Q1" s="2">
        <v>5</v>
      </c>
      <c r="R1" s="2"/>
      <c r="S1" s="2"/>
      <c r="U1" s="2" t="s">
        <v>10</v>
      </c>
      <c r="V1" s="2"/>
      <c r="W1" s="2"/>
    </row>
    <row r="2" spans="1:23" x14ac:dyDescent="0.25">
      <c r="A2" t="s">
        <v>0</v>
      </c>
      <c r="B2" t="s">
        <v>25</v>
      </c>
      <c r="C2" t="s">
        <v>26</v>
      </c>
      <c r="E2" t="s">
        <v>0</v>
      </c>
      <c r="F2" t="s">
        <v>25</v>
      </c>
      <c r="G2" t="s">
        <v>26</v>
      </c>
      <c r="I2" t="s">
        <v>0</v>
      </c>
      <c r="J2" t="s">
        <v>25</v>
      </c>
      <c r="K2" t="s">
        <v>26</v>
      </c>
      <c r="M2" t="s">
        <v>0</v>
      </c>
      <c r="N2" t="s">
        <v>25</v>
      </c>
      <c r="O2" t="s">
        <v>26</v>
      </c>
      <c r="Q2" t="s">
        <v>0</v>
      </c>
      <c r="R2" t="s">
        <v>25</v>
      </c>
      <c r="S2" t="s">
        <v>26</v>
      </c>
      <c r="U2" t="s">
        <v>0</v>
      </c>
      <c r="V2" t="s">
        <v>25</v>
      </c>
      <c r="W2" t="s">
        <v>26</v>
      </c>
    </row>
    <row r="3" spans="1:23" x14ac:dyDescent="0.25">
      <c r="A3">
        <v>500</v>
      </c>
      <c r="B3" s="3">
        <v>62.677999999999997</v>
      </c>
      <c r="C3" s="3">
        <v>50.625999999999998</v>
      </c>
      <c r="E3">
        <v>500</v>
      </c>
      <c r="F3" s="3">
        <v>9.2929999999999993</v>
      </c>
      <c r="G3" s="3">
        <v>973.25900000000001</v>
      </c>
      <c r="I3">
        <v>500</v>
      </c>
      <c r="J3" s="3">
        <v>8.1579999999999995</v>
      </c>
      <c r="K3" s="3">
        <v>918.09500000000003</v>
      </c>
      <c r="M3">
        <v>500</v>
      </c>
      <c r="N3" s="3">
        <v>10.973000000000001</v>
      </c>
      <c r="O3" s="3">
        <v>921.55200000000002</v>
      </c>
      <c r="Q3">
        <v>500</v>
      </c>
      <c r="R3" s="3">
        <v>13.558999999999999</v>
      </c>
      <c r="S3" s="3">
        <v>1216.42</v>
      </c>
      <c r="U3">
        <v>500</v>
      </c>
      <c r="V3" s="3">
        <f>AVERAGE(B3,F3,J3,N3,R3)</f>
        <v>20.932200000000002</v>
      </c>
      <c r="W3" s="3">
        <f>AVERAGE(C3,G3,K3,O3,S3)</f>
        <v>815.99040000000002</v>
      </c>
    </row>
    <row r="4" spans="1:23" x14ac:dyDescent="0.25">
      <c r="A4">
        <v>1000</v>
      </c>
      <c r="B4" s="3">
        <v>256.10700000000003</v>
      </c>
      <c r="C4" s="3">
        <v>104.333</v>
      </c>
      <c r="E4">
        <v>1000</v>
      </c>
      <c r="F4" s="3">
        <v>137.749</v>
      </c>
      <c r="G4" s="3">
        <v>33.948999999999998</v>
      </c>
      <c r="I4">
        <v>1000</v>
      </c>
      <c r="J4" s="3">
        <v>96.646000000000001</v>
      </c>
      <c r="K4" s="3">
        <v>32.933</v>
      </c>
      <c r="M4">
        <v>1000</v>
      </c>
      <c r="N4" s="3">
        <v>69.396000000000001</v>
      </c>
      <c r="O4" s="3">
        <v>32.011000000000003</v>
      </c>
      <c r="Q4">
        <v>1000</v>
      </c>
      <c r="R4" s="3">
        <v>99.072000000000003</v>
      </c>
      <c r="S4" s="3">
        <v>63.901000000000003</v>
      </c>
      <c r="U4">
        <v>1000</v>
      </c>
      <c r="V4" s="3">
        <f>AVERAGE(B4,F4,J4,N4,R4)</f>
        <v>131.79400000000001</v>
      </c>
      <c r="W4" s="3">
        <f>AVERAGE(C4,G4,K4,O4,S4)</f>
        <v>53.425399999999989</v>
      </c>
    </row>
    <row r="5" spans="1:23" x14ac:dyDescent="0.25">
      <c r="A5">
        <v>1500</v>
      </c>
      <c r="B5" s="3">
        <v>423.40800000000002</v>
      </c>
      <c r="C5" s="3">
        <v>230.96</v>
      </c>
      <c r="E5">
        <v>1500</v>
      </c>
      <c r="F5" s="3">
        <v>343.09199999999998</v>
      </c>
      <c r="G5" s="3">
        <v>101.381</v>
      </c>
      <c r="I5">
        <v>1500</v>
      </c>
      <c r="J5" s="3">
        <v>253.48</v>
      </c>
      <c r="K5" s="3">
        <v>84.289000000000001</v>
      </c>
      <c r="M5">
        <v>1500</v>
      </c>
      <c r="N5" s="3">
        <v>231.61199999999999</v>
      </c>
      <c r="O5" s="3">
        <v>128.36699999999999</v>
      </c>
      <c r="Q5">
        <v>1500</v>
      </c>
      <c r="R5" s="3">
        <v>307.85899999999998</v>
      </c>
      <c r="S5" s="3">
        <v>111.307</v>
      </c>
      <c r="U5">
        <v>1500</v>
      </c>
      <c r="V5" s="3">
        <f>AVERAGE(B5,F5,J5,N5,R5)</f>
        <v>311.89019999999999</v>
      </c>
      <c r="W5" s="3">
        <f>AVERAGE(C5,G5,K5,O5,S5)</f>
        <v>131.26079999999999</v>
      </c>
    </row>
    <row r="6" spans="1:23" x14ac:dyDescent="0.25">
      <c r="A6">
        <v>2000</v>
      </c>
      <c r="B6" s="3">
        <v>523.95500000000004</v>
      </c>
      <c r="C6" s="3">
        <v>302.26600000000002</v>
      </c>
      <c r="E6">
        <v>2000</v>
      </c>
      <c r="F6" s="3">
        <v>624.38499999999999</v>
      </c>
      <c r="G6" s="3">
        <v>172.40199999999999</v>
      </c>
      <c r="I6">
        <v>2000</v>
      </c>
      <c r="J6" s="3">
        <v>490.79199999999997</v>
      </c>
      <c r="K6" s="3">
        <v>163.994</v>
      </c>
      <c r="M6">
        <v>2000</v>
      </c>
      <c r="N6" s="3">
        <v>461.392</v>
      </c>
      <c r="O6" s="3">
        <v>147.52000000000001</v>
      </c>
      <c r="Q6">
        <v>2000</v>
      </c>
      <c r="R6" s="3">
        <v>670.05100000000004</v>
      </c>
      <c r="S6" s="3">
        <v>228.017</v>
      </c>
      <c r="U6">
        <v>2000</v>
      </c>
      <c r="V6" s="3">
        <f>AVERAGE(B6,F6,J6,N6,R6)</f>
        <v>554.11500000000001</v>
      </c>
      <c r="W6" s="3">
        <f>AVERAGE(C6,G6,K6,O6,S6)</f>
        <v>202.83980000000003</v>
      </c>
    </row>
    <row r="7" spans="1:23" x14ac:dyDescent="0.25">
      <c r="A7">
        <v>2500</v>
      </c>
      <c r="B7" s="3">
        <v>607.94000000000005</v>
      </c>
      <c r="C7" s="3">
        <v>388.39800000000002</v>
      </c>
      <c r="E7">
        <v>2500</v>
      </c>
      <c r="F7" s="3">
        <v>896.64</v>
      </c>
      <c r="G7" s="3">
        <v>265.63</v>
      </c>
      <c r="I7">
        <v>2500</v>
      </c>
      <c r="J7" s="3">
        <v>806.32299999999998</v>
      </c>
      <c r="K7" s="3">
        <v>245.876</v>
      </c>
      <c r="M7">
        <v>2500</v>
      </c>
      <c r="N7" s="3">
        <v>810.09799999999996</v>
      </c>
      <c r="O7" s="3">
        <v>253.01</v>
      </c>
      <c r="Q7">
        <v>2500</v>
      </c>
      <c r="R7" s="3">
        <v>1104.45</v>
      </c>
      <c r="S7" s="3">
        <v>342.71499999999997</v>
      </c>
      <c r="U7">
        <v>2500</v>
      </c>
      <c r="V7" s="3">
        <f>AVERAGE(B7,F7,J7,N7,R7)</f>
        <v>845.09019999999998</v>
      </c>
      <c r="W7" s="3">
        <f>AVERAGE(C7,G7,K7,O7,S7)</f>
        <v>299.12579999999997</v>
      </c>
    </row>
    <row r="8" spans="1:23" x14ac:dyDescent="0.25">
      <c r="A8">
        <v>3000</v>
      </c>
      <c r="B8" s="3">
        <v>839.94100000000003</v>
      </c>
      <c r="C8" s="3">
        <v>555.43899999999996</v>
      </c>
      <c r="E8">
        <v>3000</v>
      </c>
      <c r="F8" s="3">
        <v>1239.29</v>
      </c>
      <c r="G8" s="3">
        <v>342.923</v>
      </c>
      <c r="I8">
        <v>3000</v>
      </c>
      <c r="J8" s="3">
        <v>1130.82</v>
      </c>
      <c r="K8" s="3">
        <v>345.04</v>
      </c>
      <c r="M8">
        <v>3000</v>
      </c>
      <c r="N8" s="3">
        <v>1346.47</v>
      </c>
      <c r="O8" s="3">
        <v>512.72699999999998</v>
      </c>
      <c r="Q8">
        <v>3000</v>
      </c>
      <c r="R8" s="3">
        <v>1576.56</v>
      </c>
      <c r="S8" s="3">
        <v>524.66899999999998</v>
      </c>
      <c r="U8">
        <v>3000</v>
      </c>
      <c r="V8" s="3">
        <f>AVERAGE(B8,F8,J8,N8,R8)</f>
        <v>1226.6161999999999</v>
      </c>
      <c r="W8" s="3">
        <f>AVERAGE(C8,G8,K8,O8,S8)</f>
        <v>456.15959999999995</v>
      </c>
    </row>
    <row r="9" spans="1:23" x14ac:dyDescent="0.25">
      <c r="A9">
        <v>3500</v>
      </c>
      <c r="B9" s="3">
        <v>1009.04</v>
      </c>
      <c r="C9" s="3">
        <v>728.40499999999997</v>
      </c>
      <c r="E9">
        <v>3500</v>
      </c>
      <c r="F9" s="3">
        <v>1253.4100000000001</v>
      </c>
      <c r="G9" s="3">
        <v>453.36599999999999</v>
      </c>
      <c r="I9">
        <v>3500</v>
      </c>
      <c r="J9" s="3">
        <v>1479.45</v>
      </c>
      <c r="K9" s="3">
        <v>463.46100000000001</v>
      </c>
      <c r="M9">
        <v>3500</v>
      </c>
      <c r="N9" s="3">
        <v>2606.46</v>
      </c>
      <c r="O9" s="3">
        <v>955.88900000000001</v>
      </c>
      <c r="Q9">
        <v>3500</v>
      </c>
      <c r="R9" s="3">
        <v>1987.56</v>
      </c>
      <c r="S9" s="3">
        <v>640.04999999999995</v>
      </c>
      <c r="U9">
        <v>3500</v>
      </c>
      <c r="V9" s="3">
        <f>AVERAGE(B9,F9,J9,N9,R9)</f>
        <v>1667.184</v>
      </c>
      <c r="W9" s="3">
        <f>AVERAGE(C9,G9,K9,O9,S9)</f>
        <v>648.2342000000001</v>
      </c>
    </row>
    <row r="10" spans="1:23" x14ac:dyDescent="0.25">
      <c r="A10">
        <v>4000</v>
      </c>
      <c r="B10" s="3">
        <v>1210.8399999999999</v>
      </c>
      <c r="C10" s="3">
        <v>906.35</v>
      </c>
      <c r="E10">
        <v>4000</v>
      </c>
      <c r="F10" s="3">
        <v>1321.5</v>
      </c>
      <c r="G10" s="3">
        <v>610.37699999999995</v>
      </c>
      <c r="I10">
        <v>4000</v>
      </c>
      <c r="J10" s="3">
        <v>1625.65</v>
      </c>
      <c r="K10" s="3">
        <v>609.298</v>
      </c>
      <c r="M10">
        <v>4000</v>
      </c>
      <c r="N10" s="3">
        <v>3145.59</v>
      </c>
      <c r="O10" s="3">
        <v>995.22699999999998</v>
      </c>
      <c r="Q10">
        <v>4000</v>
      </c>
      <c r="R10" s="3">
        <v>2430.94</v>
      </c>
      <c r="S10" s="3">
        <v>858.80200000000002</v>
      </c>
      <c r="U10">
        <v>4000</v>
      </c>
      <c r="V10" s="3">
        <f>AVERAGE(B10,F10,J10,N10,R10)</f>
        <v>1946.904</v>
      </c>
      <c r="W10" s="3">
        <f>AVERAGE(C10,G10,K10,O10,S10)</f>
        <v>796.0107999999999</v>
      </c>
    </row>
    <row r="11" spans="1:23" x14ac:dyDescent="0.25">
      <c r="A11">
        <v>4500</v>
      </c>
      <c r="B11" s="3">
        <v>1410.16</v>
      </c>
      <c r="C11" s="3">
        <v>1153.8399999999999</v>
      </c>
      <c r="E11">
        <v>4500</v>
      </c>
      <c r="F11" s="3">
        <v>1487.78</v>
      </c>
      <c r="G11" s="3">
        <v>766.03</v>
      </c>
      <c r="I11">
        <v>4500</v>
      </c>
      <c r="J11" s="3">
        <v>1508.58</v>
      </c>
      <c r="K11" s="3">
        <v>767.96400000000006</v>
      </c>
      <c r="M11">
        <v>4500</v>
      </c>
      <c r="N11" s="3">
        <v>2864.5</v>
      </c>
      <c r="O11" s="3">
        <v>1334.64</v>
      </c>
      <c r="Q11">
        <v>4500</v>
      </c>
      <c r="R11" s="3">
        <v>2650.64</v>
      </c>
      <c r="S11" s="3">
        <v>1098.75</v>
      </c>
      <c r="U11">
        <v>4500</v>
      </c>
      <c r="V11" s="3">
        <f>AVERAGE(B11,F11,J11,N11,R11)</f>
        <v>1984.3319999999999</v>
      </c>
      <c r="W11" s="3">
        <f>AVERAGE(C11,G11,K11,O11,S11)</f>
        <v>1024.2447999999999</v>
      </c>
    </row>
    <row r="12" spans="1:23" x14ac:dyDescent="0.25">
      <c r="A12">
        <v>5000</v>
      </c>
      <c r="B12" s="3">
        <v>1670.15</v>
      </c>
      <c r="C12" s="3">
        <v>1363.25</v>
      </c>
      <c r="E12">
        <v>5000</v>
      </c>
      <c r="F12" s="3">
        <v>1665.48</v>
      </c>
      <c r="G12" s="3">
        <v>948.42399999999998</v>
      </c>
      <c r="I12">
        <v>5000</v>
      </c>
      <c r="J12" s="3">
        <v>1718.48</v>
      </c>
      <c r="K12" s="3">
        <v>891.52300000000002</v>
      </c>
      <c r="M12">
        <v>5000</v>
      </c>
      <c r="N12" s="3">
        <v>2760.46</v>
      </c>
      <c r="O12" s="3">
        <v>1398.14</v>
      </c>
      <c r="Q12">
        <v>5000</v>
      </c>
      <c r="R12" s="3">
        <v>2515.66</v>
      </c>
      <c r="S12" s="3">
        <v>1391.94</v>
      </c>
      <c r="U12">
        <v>5000</v>
      </c>
      <c r="V12" s="3">
        <f>AVERAGE(B12,F12,J12,N12,R12)</f>
        <v>2066.0459999999998</v>
      </c>
      <c r="W12" s="3">
        <f>AVERAGE(C12,G12,K12,O12,S12)</f>
        <v>1198.6554000000001</v>
      </c>
    </row>
    <row r="13" spans="1:23" x14ac:dyDescent="0.25">
      <c r="A13">
        <v>5500</v>
      </c>
      <c r="B13" s="3">
        <v>1869.23</v>
      </c>
      <c r="C13" s="3">
        <v>1585.21</v>
      </c>
      <c r="E13">
        <v>5500</v>
      </c>
      <c r="F13" s="3">
        <v>1894.23</v>
      </c>
      <c r="G13" s="3">
        <v>1107.0999999999999</v>
      </c>
      <c r="I13">
        <v>5500</v>
      </c>
      <c r="J13" s="3">
        <v>1894.18</v>
      </c>
      <c r="K13" s="3">
        <v>1106.33</v>
      </c>
      <c r="M13">
        <v>5500</v>
      </c>
      <c r="N13" s="3">
        <v>3051.96</v>
      </c>
      <c r="O13" s="3">
        <v>1737.47</v>
      </c>
      <c r="Q13">
        <v>5500</v>
      </c>
      <c r="R13" s="3">
        <v>2818.49</v>
      </c>
      <c r="S13" s="3">
        <v>1711.23</v>
      </c>
      <c r="U13">
        <v>5500</v>
      </c>
      <c r="V13" s="3">
        <f>AVERAGE(B13,F13,J13,N13,R13)</f>
        <v>2305.6179999999999</v>
      </c>
      <c r="W13" s="3">
        <f>AVERAGE(C13,G13,K13,O13,S13)</f>
        <v>1449.4680000000001</v>
      </c>
    </row>
    <row r="14" spans="1:23" x14ac:dyDescent="0.25">
      <c r="A14">
        <v>6000</v>
      </c>
      <c r="B14" s="3">
        <v>2147.2600000000002</v>
      </c>
      <c r="C14" s="3">
        <v>1756.12</v>
      </c>
      <c r="E14">
        <v>6000</v>
      </c>
      <c r="F14" s="3">
        <v>2132.31</v>
      </c>
      <c r="G14" s="3">
        <v>1312.09</v>
      </c>
      <c r="I14">
        <v>6000</v>
      </c>
      <c r="J14" s="3">
        <v>2151.41</v>
      </c>
      <c r="K14" s="3">
        <v>1320.67</v>
      </c>
      <c r="M14">
        <v>6000</v>
      </c>
      <c r="N14" s="3">
        <v>3274.66</v>
      </c>
      <c r="O14" s="3">
        <v>1950.99</v>
      </c>
      <c r="Q14">
        <v>6000</v>
      </c>
      <c r="R14" s="3">
        <v>3259.6</v>
      </c>
      <c r="S14" s="3">
        <v>1943.32</v>
      </c>
      <c r="U14">
        <v>6000</v>
      </c>
      <c r="V14" s="3">
        <f>AVERAGE(B14,F14,J14,N14,R14)</f>
        <v>2593.0479999999998</v>
      </c>
      <c r="W14" s="3">
        <f>AVERAGE(C14,G14,K14,O14,S14)</f>
        <v>1656.6380000000001</v>
      </c>
    </row>
    <row r="15" spans="1:23" x14ac:dyDescent="0.25">
      <c r="A15">
        <v>6500</v>
      </c>
      <c r="B15" s="3">
        <v>2378.1</v>
      </c>
      <c r="C15" s="3">
        <v>2059.6</v>
      </c>
      <c r="E15">
        <v>6500</v>
      </c>
      <c r="F15" s="3">
        <v>2380.6</v>
      </c>
      <c r="G15" s="3">
        <v>1530.14</v>
      </c>
      <c r="I15">
        <v>6500</v>
      </c>
      <c r="J15" s="3">
        <v>2386.15</v>
      </c>
      <c r="K15" s="3">
        <v>1500.84</v>
      </c>
      <c r="M15">
        <v>6500</v>
      </c>
      <c r="N15" s="3">
        <v>3676.42</v>
      </c>
      <c r="O15" s="3">
        <v>2649.05</v>
      </c>
      <c r="Q15">
        <v>6500</v>
      </c>
      <c r="R15" s="3">
        <v>3668.51</v>
      </c>
      <c r="S15" s="3">
        <v>2223.94</v>
      </c>
      <c r="U15">
        <v>6500</v>
      </c>
      <c r="V15" s="3">
        <f>AVERAGE(B15,F15,J15,N15,R15)</f>
        <v>2897.9560000000001</v>
      </c>
      <c r="W15" s="3">
        <f>AVERAGE(C15,G15,K15,O15,S15)</f>
        <v>1992.7139999999999</v>
      </c>
    </row>
    <row r="16" spans="1:23" x14ac:dyDescent="0.25">
      <c r="A16">
        <v>7000</v>
      </c>
      <c r="B16" s="3">
        <v>2648.14</v>
      </c>
      <c r="C16" s="3">
        <v>2300.2199999999998</v>
      </c>
      <c r="E16">
        <v>7000</v>
      </c>
      <c r="F16" s="3">
        <v>2684.06</v>
      </c>
      <c r="G16" s="3">
        <v>1771.65</v>
      </c>
      <c r="I16">
        <v>7000</v>
      </c>
      <c r="J16" s="3">
        <v>2697.33</v>
      </c>
      <c r="K16" s="3">
        <v>1791.26</v>
      </c>
      <c r="M16">
        <v>7000</v>
      </c>
      <c r="N16" s="3">
        <v>4037.34</v>
      </c>
      <c r="O16" s="3">
        <v>2924.65</v>
      </c>
      <c r="Q16">
        <v>7000</v>
      </c>
      <c r="R16" s="3">
        <v>3915.62</v>
      </c>
      <c r="S16" s="3">
        <v>2580.48</v>
      </c>
      <c r="U16">
        <v>7000</v>
      </c>
      <c r="V16" s="3">
        <f>AVERAGE(B16,F16,J16,N16,R16)</f>
        <v>3196.4979999999996</v>
      </c>
      <c r="W16" s="3">
        <f>AVERAGE(C16,G16,K16,O16,S16)</f>
        <v>2273.652</v>
      </c>
    </row>
    <row r="17" spans="1:23" x14ac:dyDescent="0.25">
      <c r="A17">
        <v>7500</v>
      </c>
      <c r="B17" s="3">
        <v>2939.45</v>
      </c>
      <c r="C17" s="3">
        <v>2600.59</v>
      </c>
      <c r="E17">
        <v>7500</v>
      </c>
      <c r="F17" s="3">
        <v>2979.19</v>
      </c>
      <c r="G17" s="3">
        <v>2025.63</v>
      </c>
      <c r="I17">
        <v>7500</v>
      </c>
      <c r="J17" s="3">
        <v>2961.69</v>
      </c>
      <c r="K17" s="3">
        <v>1991.15</v>
      </c>
      <c r="M17">
        <v>7500</v>
      </c>
      <c r="N17" s="3">
        <v>4395.96</v>
      </c>
      <c r="O17" s="3">
        <v>3124.6</v>
      </c>
      <c r="Q17">
        <v>7500</v>
      </c>
      <c r="R17" s="3">
        <v>4023.74</v>
      </c>
      <c r="S17" s="3">
        <v>2824.32</v>
      </c>
      <c r="U17">
        <v>7500</v>
      </c>
      <c r="V17" s="3">
        <f>AVERAGE(B17,F17,J17,N17,R17)</f>
        <v>3460.0059999999999</v>
      </c>
      <c r="W17" s="3">
        <f>AVERAGE(C17,G17,K17,O17,S17)</f>
        <v>2513.2580000000003</v>
      </c>
    </row>
    <row r="18" spans="1:23" x14ac:dyDescent="0.25">
      <c r="A18">
        <v>8000</v>
      </c>
      <c r="B18" s="3">
        <v>3254.4</v>
      </c>
      <c r="C18" s="3">
        <v>2875.82</v>
      </c>
      <c r="E18">
        <v>8000</v>
      </c>
      <c r="F18" s="3">
        <v>3250.14</v>
      </c>
      <c r="G18" s="3">
        <v>2214.5500000000002</v>
      </c>
      <c r="I18">
        <v>8000</v>
      </c>
      <c r="J18" s="3">
        <v>3245.43</v>
      </c>
      <c r="K18" s="3">
        <v>2241.5100000000002</v>
      </c>
      <c r="M18">
        <v>8000</v>
      </c>
      <c r="N18" s="3">
        <v>4845.8100000000004</v>
      </c>
      <c r="O18" s="3">
        <v>3469.93</v>
      </c>
      <c r="Q18">
        <v>8000</v>
      </c>
      <c r="R18" s="3">
        <v>4963.2</v>
      </c>
      <c r="S18" s="3">
        <v>3391.78</v>
      </c>
      <c r="U18">
        <v>8000</v>
      </c>
      <c r="V18" s="3">
        <f>AVERAGE(B18,F18,J18,N18,R18)</f>
        <v>3911.7959999999998</v>
      </c>
      <c r="W18" s="3">
        <f>AVERAGE(C18,G18,K18,O18,S18)</f>
        <v>2838.7180000000003</v>
      </c>
    </row>
    <row r="19" spans="1:23" x14ac:dyDescent="0.25">
      <c r="A19">
        <v>8500</v>
      </c>
      <c r="B19" s="3">
        <v>3568.62</v>
      </c>
      <c r="C19" s="3">
        <v>3247.51</v>
      </c>
      <c r="E19">
        <v>8500</v>
      </c>
      <c r="F19" s="3">
        <v>3544.83</v>
      </c>
      <c r="G19" s="3">
        <v>2556.25</v>
      </c>
      <c r="I19">
        <v>8500</v>
      </c>
      <c r="J19" s="3">
        <v>3573.49</v>
      </c>
      <c r="K19" s="3">
        <v>2532.1</v>
      </c>
      <c r="M19">
        <v>8500</v>
      </c>
      <c r="N19" s="3">
        <v>5170.24</v>
      </c>
      <c r="O19" s="3">
        <v>3723.88</v>
      </c>
      <c r="Q19">
        <v>8500</v>
      </c>
      <c r="R19" s="3">
        <v>5340.06</v>
      </c>
      <c r="S19" s="3" t="s">
        <v>27</v>
      </c>
      <c r="U19">
        <v>8500</v>
      </c>
      <c r="V19" s="3">
        <f>AVERAGE(B19,F19,J19,N19,R19)</f>
        <v>4239.4479999999994</v>
      </c>
      <c r="W19" s="3">
        <f>AVERAGE(C19,G19,K19,O19,S19)</f>
        <v>3014.9350000000004</v>
      </c>
    </row>
    <row r="20" spans="1:23" x14ac:dyDescent="0.25">
      <c r="A20">
        <v>9000</v>
      </c>
      <c r="B20" s="3">
        <v>3894.48</v>
      </c>
      <c r="C20" s="3">
        <v>3603.51</v>
      </c>
      <c r="E20">
        <v>9000</v>
      </c>
      <c r="F20" s="3">
        <v>3939.51</v>
      </c>
      <c r="G20" s="3">
        <v>2829.79</v>
      </c>
      <c r="I20">
        <v>9000</v>
      </c>
      <c r="J20" s="3">
        <v>3919.69</v>
      </c>
      <c r="K20" s="3">
        <v>2799.27</v>
      </c>
      <c r="M20">
        <v>9000</v>
      </c>
      <c r="N20" s="3">
        <v>5866.81</v>
      </c>
      <c r="O20" s="3">
        <v>4289.25</v>
      </c>
      <c r="Q20">
        <v>9000</v>
      </c>
      <c r="R20" s="3">
        <v>5700.51</v>
      </c>
      <c r="S20" s="3">
        <v>4153.0600000000004</v>
      </c>
      <c r="U20">
        <v>9000</v>
      </c>
      <c r="V20" s="3">
        <f>AVERAGE(B20,F20,J20,N20,R20)</f>
        <v>4664.2</v>
      </c>
      <c r="W20" s="3">
        <f>AVERAGE(C20,G20,K20,O20,S20)</f>
        <v>3534.9760000000001</v>
      </c>
    </row>
    <row r="21" spans="1:23" x14ac:dyDescent="0.25">
      <c r="A21">
        <v>9500</v>
      </c>
      <c r="B21" s="3">
        <v>4356.04</v>
      </c>
      <c r="C21" s="3">
        <v>3881.61</v>
      </c>
      <c r="E21">
        <v>9500</v>
      </c>
      <c r="F21" s="3">
        <v>4246.63</v>
      </c>
      <c r="G21" s="3">
        <v>3151.91</v>
      </c>
      <c r="I21">
        <v>9500</v>
      </c>
      <c r="J21" s="3">
        <v>4374.3900000000003</v>
      </c>
      <c r="K21" s="3">
        <v>3198.97</v>
      </c>
      <c r="M21">
        <v>9500</v>
      </c>
      <c r="N21" s="3">
        <v>6485.76</v>
      </c>
      <c r="O21" s="3">
        <v>4872.21</v>
      </c>
      <c r="Q21">
        <v>9500</v>
      </c>
      <c r="R21" s="3">
        <v>6333.55</v>
      </c>
      <c r="S21" s="3">
        <v>4936.37</v>
      </c>
      <c r="U21">
        <v>9500</v>
      </c>
      <c r="V21" s="3">
        <f>AVERAGE(B21,F21,J21,N21,R21)</f>
        <v>5159.2739999999994</v>
      </c>
      <c r="W21" s="3">
        <f>AVERAGE(C21,G21,K21,O21,S21)</f>
        <v>4008.2139999999999</v>
      </c>
    </row>
    <row r="22" spans="1:23" x14ac:dyDescent="0.25">
      <c r="A22">
        <v>10000</v>
      </c>
      <c r="B22" s="3">
        <v>4608.4399999999996</v>
      </c>
      <c r="C22" s="3">
        <v>4277.97</v>
      </c>
      <c r="E22">
        <v>10000</v>
      </c>
      <c r="F22" s="3">
        <v>4700.12</v>
      </c>
      <c r="G22" s="3">
        <v>3529.99</v>
      </c>
      <c r="I22">
        <v>10000</v>
      </c>
      <c r="J22" s="3">
        <v>4679.45</v>
      </c>
      <c r="K22" s="3">
        <v>3483.51</v>
      </c>
      <c r="M22">
        <v>10000</v>
      </c>
      <c r="N22" s="3">
        <v>7560.05</v>
      </c>
      <c r="O22" s="3">
        <v>5338.8</v>
      </c>
      <c r="Q22">
        <v>10000</v>
      </c>
      <c r="R22" s="3">
        <v>6981.84</v>
      </c>
      <c r="S22" s="3">
        <v>5419.54</v>
      </c>
      <c r="U22">
        <v>10000</v>
      </c>
      <c r="V22" s="3">
        <f>AVERAGE(B22,F22,J22,N22,R22)</f>
        <v>5705.98</v>
      </c>
      <c r="W22" s="3">
        <f>AVERAGE(C22,G22,K22,O22,S22)</f>
        <v>4409.9620000000004</v>
      </c>
    </row>
  </sheetData>
  <mergeCells count="6">
    <mergeCell ref="E1:G1"/>
    <mergeCell ref="A1:C1"/>
    <mergeCell ref="I1:K1"/>
    <mergeCell ref="M1:O1"/>
    <mergeCell ref="Q1:S1"/>
    <mergeCell ref="U1:W1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0B6B2-66AA-43F2-8C36-1B4E7700ECA4}">
  <dimension ref="A1:AC22"/>
  <sheetViews>
    <sheetView topLeftCell="J17" zoomScale="135" workbookViewId="0">
      <selection activeCell="AC30" sqref="AC30"/>
    </sheetView>
  </sheetViews>
  <sheetFormatPr defaultRowHeight="15" x14ac:dyDescent="0.25"/>
  <cols>
    <col min="1" max="5" width="11.140625" bestFit="1" customWidth="1"/>
  </cols>
  <sheetData>
    <row r="1" spans="1:29" x14ac:dyDescent="0.25">
      <c r="A1" s="2">
        <v>1</v>
      </c>
      <c r="B1" s="2"/>
      <c r="C1" s="2"/>
      <c r="D1" s="2"/>
      <c r="F1" s="2">
        <v>2</v>
      </c>
      <c r="G1" s="2"/>
      <c r="H1" s="2"/>
      <c r="I1" s="2"/>
      <c r="K1" s="2">
        <v>3</v>
      </c>
      <c r="L1" s="2"/>
      <c r="M1" s="2"/>
      <c r="N1" s="2"/>
      <c r="P1" s="2">
        <v>4</v>
      </c>
      <c r="Q1" s="2"/>
      <c r="R1" s="2"/>
      <c r="S1" s="2"/>
      <c r="U1" s="2">
        <v>5</v>
      </c>
      <c r="V1" s="2"/>
      <c r="W1" s="2"/>
      <c r="X1" s="2"/>
      <c r="Z1" s="2" t="s">
        <v>10</v>
      </c>
      <c r="AA1" s="2"/>
      <c r="AB1" s="2"/>
      <c r="AC1" s="2"/>
    </row>
    <row r="2" spans="1:29" x14ac:dyDescent="0.25">
      <c r="A2" t="s">
        <v>23</v>
      </c>
      <c r="B2" t="s">
        <v>20</v>
      </c>
      <c r="C2" t="s">
        <v>21</v>
      </c>
      <c r="D2" t="s">
        <v>22</v>
      </c>
      <c r="F2" t="s">
        <v>23</v>
      </c>
      <c r="G2" t="s">
        <v>20</v>
      </c>
      <c r="H2" t="s">
        <v>21</v>
      </c>
      <c r="I2" t="s">
        <v>22</v>
      </c>
      <c r="K2" t="s">
        <v>23</v>
      </c>
      <c r="L2" t="s">
        <v>20</v>
      </c>
      <c r="M2" t="s">
        <v>21</v>
      </c>
      <c r="N2" t="s">
        <v>22</v>
      </c>
      <c r="P2" t="s">
        <v>23</v>
      </c>
      <c r="Q2" t="s">
        <v>20</v>
      </c>
      <c r="R2" t="s">
        <v>21</v>
      </c>
      <c r="S2" t="s">
        <v>22</v>
      </c>
      <c r="U2" t="s">
        <v>23</v>
      </c>
      <c r="V2" t="s">
        <v>20</v>
      </c>
      <c r="W2" t="s">
        <v>21</v>
      </c>
      <c r="X2" t="s">
        <v>22</v>
      </c>
      <c r="Z2" t="s">
        <v>23</v>
      </c>
      <c r="AA2" t="s">
        <v>20</v>
      </c>
      <c r="AB2" t="s">
        <v>21</v>
      </c>
      <c r="AC2" t="s">
        <v>22</v>
      </c>
    </row>
    <row r="3" spans="1:29" x14ac:dyDescent="0.25">
      <c r="A3">
        <v>5000</v>
      </c>
      <c r="B3">
        <v>3.1E-2</v>
      </c>
      <c r="C3">
        <v>2.7E-2</v>
      </c>
      <c r="D3">
        <v>65.111999999999995</v>
      </c>
      <c r="F3">
        <v>5000</v>
      </c>
      <c r="G3">
        <v>2.3E-2</v>
      </c>
      <c r="H3">
        <v>4.9000000000000002E-2</v>
      </c>
      <c r="I3">
        <v>65.072000000000003</v>
      </c>
      <c r="K3">
        <v>5000</v>
      </c>
      <c r="L3">
        <v>2.5000000000000001E-2</v>
      </c>
      <c r="M3">
        <v>2.7E-2</v>
      </c>
      <c r="N3">
        <v>68.956000000000003</v>
      </c>
      <c r="P3">
        <v>5000</v>
      </c>
      <c r="Q3">
        <v>2.3E-2</v>
      </c>
      <c r="R3">
        <v>4.2999999999999997E-2</v>
      </c>
      <c r="S3">
        <v>65.850999999999999</v>
      </c>
      <c r="U3">
        <v>5000</v>
      </c>
      <c r="V3">
        <v>2.4E-2</v>
      </c>
      <c r="W3">
        <v>2.5999999999999999E-2</v>
      </c>
      <c r="X3">
        <v>64.765000000000001</v>
      </c>
      <c r="Z3">
        <v>5000</v>
      </c>
      <c r="AA3">
        <f>AVERAGE(B3,G3,L3,Q3,V3)</f>
        <v>2.52E-2</v>
      </c>
      <c r="AB3">
        <f t="shared" ref="AB3:AB18" si="0">AVERAGE(C3,H3,M3,R3,W3)</f>
        <v>3.44E-2</v>
      </c>
      <c r="AC3">
        <f>AVERAGE(D3,I3,N3,S3,X3)</f>
        <v>65.9512</v>
      </c>
    </row>
    <row r="4" spans="1:29" x14ac:dyDescent="0.25">
      <c r="A4">
        <v>10000</v>
      </c>
      <c r="B4">
        <v>5.0999999999999997E-2</v>
      </c>
      <c r="C4">
        <v>9.6000000000000002E-2</v>
      </c>
      <c r="D4">
        <v>248.21199999999999</v>
      </c>
      <c r="F4">
        <v>10000</v>
      </c>
      <c r="G4">
        <v>3.9E-2</v>
      </c>
      <c r="H4">
        <v>7.0999999999999994E-2</v>
      </c>
      <c r="I4">
        <v>261.31</v>
      </c>
      <c r="K4">
        <v>10000</v>
      </c>
      <c r="L4">
        <v>4.7E-2</v>
      </c>
      <c r="M4">
        <v>4.9000000000000002E-2</v>
      </c>
      <c r="N4">
        <v>261.80900000000003</v>
      </c>
      <c r="P4">
        <v>10000</v>
      </c>
      <c r="Q4">
        <v>4.5999999999999999E-2</v>
      </c>
      <c r="R4">
        <v>4.4999999999999998E-2</v>
      </c>
      <c r="S4">
        <v>249.07499999999999</v>
      </c>
      <c r="U4">
        <v>10000</v>
      </c>
      <c r="V4">
        <v>4.3999999999999997E-2</v>
      </c>
      <c r="W4">
        <v>4.4999999999999998E-2</v>
      </c>
      <c r="X4">
        <v>259.81</v>
      </c>
      <c r="Z4">
        <v>10000</v>
      </c>
      <c r="AA4">
        <f t="shared" ref="AA4:AA21" si="1">AVERAGE(B4,G4,L4,Q4,V4)</f>
        <v>4.5399999999999996E-2</v>
      </c>
      <c r="AB4">
        <f t="shared" si="0"/>
        <v>6.1199999999999991E-2</v>
      </c>
      <c r="AC4">
        <f>AVERAGE(D4,I4,N4,S4,X4)</f>
        <v>256.04319999999996</v>
      </c>
    </row>
    <row r="5" spans="1:29" x14ac:dyDescent="0.25">
      <c r="A5">
        <v>15000</v>
      </c>
      <c r="B5">
        <v>6.5000000000000002E-2</v>
      </c>
      <c r="C5">
        <v>0.13200000000000001</v>
      </c>
      <c r="D5">
        <v>551.73500000000001</v>
      </c>
      <c r="F5">
        <v>15000</v>
      </c>
      <c r="G5">
        <v>6.7000000000000004E-2</v>
      </c>
      <c r="H5">
        <v>6.7000000000000004E-2</v>
      </c>
      <c r="I5">
        <v>544.67499999999995</v>
      </c>
      <c r="K5">
        <v>15000</v>
      </c>
      <c r="L5">
        <v>6.6000000000000003E-2</v>
      </c>
      <c r="M5">
        <v>6.8000000000000005E-2</v>
      </c>
      <c r="N5">
        <v>580.77099999999996</v>
      </c>
      <c r="P5">
        <v>15000</v>
      </c>
      <c r="Q5">
        <v>6.9000000000000006E-2</v>
      </c>
      <c r="R5">
        <v>6.8000000000000005E-2</v>
      </c>
      <c r="S5">
        <v>548.22500000000002</v>
      </c>
      <c r="U5">
        <v>15000</v>
      </c>
      <c r="V5">
        <v>6.7000000000000004E-2</v>
      </c>
      <c r="W5">
        <v>6.9000000000000006E-2</v>
      </c>
      <c r="X5">
        <v>540.69200000000001</v>
      </c>
      <c r="Z5">
        <v>15000</v>
      </c>
      <c r="AA5">
        <f t="shared" si="1"/>
        <v>6.6799999999999998E-2</v>
      </c>
      <c r="AB5">
        <f t="shared" si="0"/>
        <v>8.0800000000000011E-2</v>
      </c>
      <c r="AC5">
        <f>AVERAGE(D5,I5,N5,S5,X5)</f>
        <v>553.21960000000001</v>
      </c>
    </row>
    <row r="6" spans="1:29" x14ac:dyDescent="0.25">
      <c r="A6">
        <v>20000</v>
      </c>
      <c r="B6">
        <v>9.0999999999999998E-2</v>
      </c>
      <c r="C6">
        <v>9.1999999999999998E-2</v>
      </c>
      <c r="D6">
        <v>973.56200000000001</v>
      </c>
      <c r="F6">
        <v>20000</v>
      </c>
      <c r="G6">
        <v>9.2999999999999999E-2</v>
      </c>
      <c r="H6">
        <v>9.2999999999999999E-2</v>
      </c>
      <c r="I6">
        <v>995.30200000000002</v>
      </c>
      <c r="K6">
        <v>20000</v>
      </c>
      <c r="L6">
        <v>9.2999999999999999E-2</v>
      </c>
      <c r="M6">
        <v>9.4E-2</v>
      </c>
      <c r="N6">
        <v>1030.97</v>
      </c>
      <c r="P6">
        <v>20000</v>
      </c>
      <c r="Q6">
        <v>8.8999999999999996E-2</v>
      </c>
      <c r="R6">
        <v>9.0999999999999998E-2</v>
      </c>
      <c r="S6">
        <v>980.50400000000002</v>
      </c>
      <c r="U6">
        <v>20000</v>
      </c>
      <c r="V6">
        <v>9.1999999999999998E-2</v>
      </c>
      <c r="W6">
        <v>0.16500000000000001</v>
      </c>
      <c r="X6">
        <v>1005.89</v>
      </c>
      <c r="Z6">
        <v>20000</v>
      </c>
      <c r="AA6">
        <f t="shared" si="1"/>
        <v>9.1599999999999987E-2</v>
      </c>
      <c r="AB6">
        <f t="shared" si="0"/>
        <v>0.10700000000000001</v>
      </c>
      <c r="AC6">
        <f>AVERAGE(D6,I6,N6,S6,X6)</f>
        <v>997.24559999999997</v>
      </c>
    </row>
    <row r="7" spans="1:29" x14ac:dyDescent="0.25">
      <c r="A7">
        <v>25000</v>
      </c>
      <c r="B7">
        <v>0.113</v>
      </c>
      <c r="C7">
        <v>0.11899999999999999</v>
      </c>
      <c r="D7">
        <v>1521.66</v>
      </c>
      <c r="F7">
        <v>25000</v>
      </c>
      <c r="G7">
        <v>0.11600000000000001</v>
      </c>
      <c r="H7">
        <v>0.16700000000000001</v>
      </c>
      <c r="I7">
        <v>1536.65</v>
      </c>
      <c r="K7">
        <v>25000</v>
      </c>
      <c r="L7">
        <v>0.11700000000000001</v>
      </c>
      <c r="M7">
        <v>0.11899999999999999</v>
      </c>
      <c r="N7">
        <v>1552.45</v>
      </c>
      <c r="P7">
        <v>25000</v>
      </c>
      <c r="Q7">
        <v>0.20200000000000001</v>
      </c>
      <c r="R7">
        <v>0.20399999999999999</v>
      </c>
      <c r="S7">
        <v>1546.34</v>
      </c>
      <c r="U7">
        <v>25000</v>
      </c>
      <c r="V7">
        <v>0.115</v>
      </c>
      <c r="W7">
        <v>0.11700000000000001</v>
      </c>
      <c r="X7">
        <v>1510.61</v>
      </c>
      <c r="Z7">
        <v>25000</v>
      </c>
      <c r="AA7">
        <f t="shared" si="1"/>
        <v>0.1326</v>
      </c>
      <c r="AB7">
        <f t="shared" si="0"/>
        <v>0.1452</v>
      </c>
      <c r="AC7">
        <f>AVERAGE(D7,I7,N7,S7,X7)</f>
        <v>1533.5419999999999</v>
      </c>
    </row>
    <row r="8" spans="1:29" x14ac:dyDescent="0.25">
      <c r="A8">
        <v>30000</v>
      </c>
      <c r="B8">
        <v>0.13600000000000001</v>
      </c>
      <c r="C8">
        <v>0.13800000000000001</v>
      </c>
      <c r="D8">
        <v>2160.46</v>
      </c>
      <c r="F8">
        <v>30000</v>
      </c>
      <c r="G8">
        <v>0.13900000000000001</v>
      </c>
      <c r="H8">
        <v>0.23799999999999999</v>
      </c>
      <c r="I8">
        <v>2178.17</v>
      </c>
      <c r="K8">
        <v>30000</v>
      </c>
      <c r="L8">
        <v>0.13900000000000001</v>
      </c>
      <c r="M8">
        <v>0.248</v>
      </c>
      <c r="N8">
        <v>2232.92</v>
      </c>
      <c r="P8">
        <v>30000</v>
      </c>
      <c r="Q8">
        <v>0.13300000000000001</v>
      </c>
      <c r="R8">
        <v>0.27</v>
      </c>
      <c r="S8">
        <v>2214.16</v>
      </c>
      <c r="U8">
        <v>30000</v>
      </c>
      <c r="V8">
        <v>0.32600000000000001</v>
      </c>
      <c r="W8">
        <v>0.24099999999999999</v>
      </c>
      <c r="X8">
        <v>2198.5300000000002</v>
      </c>
      <c r="Z8">
        <v>30000</v>
      </c>
      <c r="AA8">
        <f t="shared" si="1"/>
        <v>0.17460000000000001</v>
      </c>
      <c r="AB8">
        <f t="shared" si="0"/>
        <v>0.22700000000000001</v>
      </c>
      <c r="AC8">
        <f>AVERAGE(D8,I8,N8,S8,X8)</f>
        <v>2196.848</v>
      </c>
    </row>
    <row r="9" spans="1:29" x14ac:dyDescent="0.25">
      <c r="A9">
        <v>35000</v>
      </c>
      <c r="B9">
        <v>0.16200000000000001</v>
      </c>
      <c r="C9">
        <v>0.28999999999999998</v>
      </c>
      <c r="D9">
        <v>2898.09</v>
      </c>
      <c r="F9">
        <v>35000</v>
      </c>
      <c r="G9">
        <v>0.159</v>
      </c>
      <c r="H9">
        <v>0.28299999999999997</v>
      </c>
      <c r="I9" t="s">
        <v>13</v>
      </c>
      <c r="K9">
        <v>35000</v>
      </c>
      <c r="L9">
        <v>0.16500000000000001</v>
      </c>
      <c r="M9">
        <v>0.16500000000000001</v>
      </c>
      <c r="N9">
        <v>3001.11</v>
      </c>
      <c r="P9">
        <v>35000</v>
      </c>
      <c r="Q9">
        <v>0.161</v>
      </c>
      <c r="R9">
        <v>0.157</v>
      </c>
      <c r="S9">
        <v>2961.32</v>
      </c>
      <c r="U9">
        <v>35000</v>
      </c>
      <c r="V9">
        <v>0.16200000000000001</v>
      </c>
      <c r="W9">
        <v>0.161</v>
      </c>
      <c r="X9">
        <v>2929.47</v>
      </c>
      <c r="Z9">
        <v>35000</v>
      </c>
      <c r="AA9">
        <f t="shared" si="1"/>
        <v>0.1618</v>
      </c>
      <c r="AB9">
        <f t="shared" si="0"/>
        <v>0.2112</v>
      </c>
      <c r="AC9">
        <f>AVERAGE(D9,I9,N9,S9,X9)</f>
        <v>2947.4974999999999</v>
      </c>
    </row>
    <row r="10" spans="1:29" x14ac:dyDescent="0.25">
      <c r="A10">
        <v>40000</v>
      </c>
      <c r="B10">
        <v>0.191</v>
      </c>
      <c r="C10">
        <v>0.32400000000000001</v>
      </c>
      <c r="D10">
        <v>3781.74</v>
      </c>
      <c r="F10">
        <v>40000</v>
      </c>
      <c r="G10">
        <v>0.19500000000000001</v>
      </c>
      <c r="H10">
        <v>0.32100000000000001</v>
      </c>
      <c r="I10">
        <v>3844.91</v>
      </c>
      <c r="K10">
        <v>40000</v>
      </c>
      <c r="L10">
        <v>0.187</v>
      </c>
      <c r="M10">
        <v>0.185</v>
      </c>
      <c r="N10">
        <v>3901.74</v>
      </c>
      <c r="P10">
        <v>40000</v>
      </c>
      <c r="Q10">
        <v>0.184</v>
      </c>
      <c r="R10">
        <v>0.35799999999999998</v>
      </c>
      <c r="S10">
        <v>3812.14</v>
      </c>
      <c r="U10">
        <v>40000</v>
      </c>
      <c r="V10">
        <v>0.185</v>
      </c>
      <c r="W10">
        <v>0.33600000000000002</v>
      </c>
      <c r="X10">
        <v>3743.92</v>
      </c>
      <c r="Z10">
        <v>40000</v>
      </c>
      <c r="AA10">
        <f t="shared" si="1"/>
        <v>0.18839999999999998</v>
      </c>
      <c r="AB10">
        <f t="shared" si="0"/>
        <v>0.30480000000000007</v>
      </c>
      <c r="AC10">
        <f>AVERAGE(D10,I10,N10,S10,X10)</f>
        <v>3816.8899999999994</v>
      </c>
    </row>
    <row r="11" spans="1:29" x14ac:dyDescent="0.25">
      <c r="A11">
        <v>45000</v>
      </c>
      <c r="B11">
        <v>0.20699999999999999</v>
      </c>
      <c r="C11">
        <v>0.25600000000000001</v>
      </c>
      <c r="D11">
        <v>4718.1899999999996</v>
      </c>
      <c r="F11">
        <v>45000</v>
      </c>
      <c r="G11">
        <v>0.20499999999999999</v>
      </c>
      <c r="H11">
        <v>0.254</v>
      </c>
      <c r="I11">
        <v>4888.59</v>
      </c>
      <c r="K11">
        <v>45000</v>
      </c>
      <c r="L11">
        <v>0.20799999999999999</v>
      </c>
      <c r="M11">
        <v>0.20899999999999999</v>
      </c>
      <c r="N11">
        <v>4828.72</v>
      </c>
      <c r="P11">
        <v>45000</v>
      </c>
      <c r="Q11">
        <v>0.20300000000000001</v>
      </c>
      <c r="R11">
        <v>0.40899999999999997</v>
      </c>
      <c r="S11">
        <v>4789.87</v>
      </c>
      <c r="U11">
        <v>45000</v>
      </c>
      <c r="V11">
        <v>0.20799999999999999</v>
      </c>
      <c r="W11">
        <v>0.20699999999999999</v>
      </c>
      <c r="X11">
        <v>4807.2700000000004</v>
      </c>
      <c r="Z11">
        <v>45000</v>
      </c>
      <c r="AA11">
        <f t="shared" si="1"/>
        <v>0.20619999999999999</v>
      </c>
      <c r="AB11">
        <f t="shared" si="0"/>
        <v>0.26700000000000002</v>
      </c>
      <c r="AC11">
        <f>AVERAGE(D11,I11,N11,S11,X11)</f>
        <v>4806.5280000000002</v>
      </c>
    </row>
    <row r="12" spans="1:29" x14ac:dyDescent="0.25">
      <c r="A12">
        <v>50000</v>
      </c>
      <c r="B12">
        <v>0.22700000000000001</v>
      </c>
      <c r="C12">
        <v>0.39700000000000002</v>
      </c>
      <c r="D12">
        <v>5788.39</v>
      </c>
      <c r="F12">
        <v>50000</v>
      </c>
      <c r="G12">
        <v>0.23200000000000001</v>
      </c>
      <c r="H12">
        <v>0.23100000000000001</v>
      </c>
      <c r="I12">
        <v>5845.89</v>
      </c>
      <c r="K12">
        <v>50000</v>
      </c>
      <c r="L12">
        <v>0.23200000000000001</v>
      </c>
      <c r="M12">
        <v>0.40699999999999997</v>
      </c>
      <c r="N12">
        <v>5963.66</v>
      </c>
      <c r="P12">
        <v>50000</v>
      </c>
      <c r="Q12">
        <v>0.22800000000000001</v>
      </c>
      <c r="R12">
        <v>0.44800000000000001</v>
      </c>
      <c r="S12">
        <v>5877.15</v>
      </c>
      <c r="U12">
        <v>50000</v>
      </c>
      <c r="V12">
        <v>0.22800000000000001</v>
      </c>
      <c r="W12">
        <v>0.41799999999999998</v>
      </c>
      <c r="X12">
        <v>5841.4</v>
      </c>
      <c r="Z12">
        <v>50000</v>
      </c>
      <c r="AA12">
        <f t="shared" si="1"/>
        <v>0.22939999999999999</v>
      </c>
      <c r="AB12">
        <f t="shared" si="0"/>
        <v>0.38019999999999998</v>
      </c>
      <c r="AC12">
        <f>AVERAGE(D12,I12,N12,S12,X12)</f>
        <v>5863.2980000000007</v>
      </c>
    </row>
    <row r="13" spans="1:29" x14ac:dyDescent="0.25">
      <c r="A13">
        <v>55000</v>
      </c>
      <c r="B13">
        <v>0.248</v>
      </c>
      <c r="C13">
        <v>0.49099999999999999</v>
      </c>
      <c r="D13">
        <v>6979.12</v>
      </c>
      <c r="F13">
        <v>55000</v>
      </c>
      <c r="G13">
        <v>0.253</v>
      </c>
      <c r="H13">
        <v>0.26</v>
      </c>
      <c r="I13">
        <v>7193.52</v>
      </c>
      <c r="K13">
        <v>55000</v>
      </c>
      <c r="L13">
        <v>0.27300000000000002</v>
      </c>
      <c r="M13">
        <v>0.44400000000000001</v>
      </c>
      <c r="N13">
        <v>7123.83</v>
      </c>
      <c r="P13">
        <v>55000</v>
      </c>
      <c r="Q13">
        <v>0.254</v>
      </c>
      <c r="R13">
        <v>0.32800000000000001</v>
      </c>
      <c r="S13">
        <v>7083.78</v>
      </c>
      <c r="U13">
        <v>55000</v>
      </c>
      <c r="V13">
        <v>0.26500000000000001</v>
      </c>
      <c r="W13">
        <v>0.27300000000000002</v>
      </c>
      <c r="X13">
        <v>7174.71</v>
      </c>
      <c r="Z13">
        <v>55000</v>
      </c>
      <c r="AA13">
        <f t="shared" si="1"/>
        <v>0.25860000000000005</v>
      </c>
      <c r="AB13">
        <f t="shared" si="0"/>
        <v>0.35920000000000007</v>
      </c>
      <c r="AC13">
        <f>AVERAGE(D13,I13,N13,S13,X13)</f>
        <v>7110.9920000000002</v>
      </c>
    </row>
    <row r="14" spans="1:29" x14ac:dyDescent="0.25">
      <c r="A14">
        <v>60000</v>
      </c>
      <c r="B14">
        <v>0.42099999999999999</v>
      </c>
      <c r="C14">
        <v>0.47499999999999998</v>
      </c>
      <c r="D14">
        <v>8396.1299999999992</v>
      </c>
      <c r="F14">
        <v>60000</v>
      </c>
      <c r="G14">
        <v>0.27400000000000002</v>
      </c>
      <c r="H14">
        <v>0.48299999999999998</v>
      </c>
      <c r="I14">
        <v>8484.66</v>
      </c>
      <c r="K14">
        <v>60000</v>
      </c>
      <c r="L14">
        <v>0.29099999999999998</v>
      </c>
      <c r="M14">
        <v>0.28899999999999998</v>
      </c>
      <c r="N14">
        <v>8577.24</v>
      </c>
      <c r="P14">
        <v>60000</v>
      </c>
      <c r="Q14">
        <v>0.28000000000000003</v>
      </c>
      <c r="R14">
        <v>0.39100000000000001</v>
      </c>
      <c r="S14">
        <v>8416.61</v>
      </c>
      <c r="U14">
        <v>60000</v>
      </c>
      <c r="V14">
        <v>0.27900000000000003</v>
      </c>
      <c r="W14">
        <v>0.46100000000000002</v>
      </c>
      <c r="X14">
        <v>8391.32</v>
      </c>
      <c r="Z14">
        <v>60000</v>
      </c>
      <c r="AA14">
        <f t="shared" si="1"/>
        <v>0.309</v>
      </c>
      <c r="AB14">
        <f t="shared" si="0"/>
        <v>0.41979999999999995</v>
      </c>
      <c r="AC14">
        <f>AVERAGE(D14,I14,N14,S14,X14)</f>
        <v>8453.1919999999991</v>
      </c>
    </row>
    <row r="15" spans="1:29" x14ac:dyDescent="0.25">
      <c r="A15">
        <v>65000</v>
      </c>
      <c r="B15">
        <v>0.32200000000000001</v>
      </c>
      <c r="C15">
        <v>0.51800000000000002</v>
      </c>
      <c r="D15">
        <v>9743.83</v>
      </c>
      <c r="F15">
        <v>65000</v>
      </c>
      <c r="G15">
        <v>0.32200000000000001</v>
      </c>
      <c r="H15">
        <v>0.3</v>
      </c>
      <c r="I15">
        <v>9840.2000000000007</v>
      </c>
      <c r="K15">
        <v>65000</v>
      </c>
      <c r="L15">
        <v>0.30599999999999999</v>
      </c>
      <c r="M15">
        <v>0.30199999999999999</v>
      </c>
      <c r="N15">
        <v>9899.3700000000008</v>
      </c>
      <c r="P15">
        <v>65000</v>
      </c>
      <c r="Q15">
        <v>0.28899999999999998</v>
      </c>
      <c r="R15">
        <v>0.41</v>
      </c>
      <c r="S15">
        <v>9916.77</v>
      </c>
      <c r="U15">
        <v>65000</v>
      </c>
      <c r="V15">
        <v>0.314</v>
      </c>
      <c r="W15">
        <v>0.52</v>
      </c>
      <c r="X15">
        <v>9971.86</v>
      </c>
      <c r="Z15">
        <v>65000</v>
      </c>
      <c r="AA15">
        <f t="shared" si="1"/>
        <v>0.31059999999999999</v>
      </c>
      <c r="AB15">
        <f t="shared" si="0"/>
        <v>0.41</v>
      </c>
      <c r="AC15">
        <f>AVERAGE(D15,I15,N15,S15,X15)</f>
        <v>9874.405999999999</v>
      </c>
    </row>
    <row r="16" spans="1:29" x14ac:dyDescent="0.25">
      <c r="A16">
        <v>70000</v>
      </c>
      <c r="B16">
        <v>0.32500000000000001</v>
      </c>
      <c r="C16">
        <v>0.51</v>
      </c>
      <c r="D16">
        <v>11301.4</v>
      </c>
      <c r="F16">
        <v>70000</v>
      </c>
      <c r="G16">
        <v>0.32500000000000001</v>
      </c>
      <c r="H16">
        <v>0.32200000000000001</v>
      </c>
      <c r="I16">
        <v>11616.3</v>
      </c>
      <c r="K16">
        <v>70000</v>
      </c>
      <c r="L16">
        <v>0.32500000000000001</v>
      </c>
      <c r="M16">
        <v>0.38200000000000001</v>
      </c>
      <c r="N16">
        <v>11568.9</v>
      </c>
      <c r="P16">
        <v>70000</v>
      </c>
      <c r="Q16">
        <v>0.36199999999999999</v>
      </c>
      <c r="R16">
        <v>0.32500000000000001</v>
      </c>
      <c r="S16">
        <v>11442.6</v>
      </c>
      <c r="U16">
        <v>70000</v>
      </c>
      <c r="V16">
        <v>0.32600000000000001</v>
      </c>
      <c r="W16">
        <v>0.41799999999999998</v>
      </c>
      <c r="X16">
        <v>11431.9</v>
      </c>
      <c r="Z16">
        <v>70000</v>
      </c>
      <c r="AA16">
        <f t="shared" si="1"/>
        <v>0.33260000000000006</v>
      </c>
      <c r="AB16">
        <f t="shared" si="0"/>
        <v>0.39139999999999997</v>
      </c>
      <c r="AC16">
        <f>AVERAGE(D16,I16,N16,S16,X16)</f>
        <v>11472.22</v>
      </c>
    </row>
    <row r="17" spans="1:29" x14ac:dyDescent="0.25">
      <c r="A17">
        <v>75000</v>
      </c>
      <c r="B17">
        <v>0.35399999999999998</v>
      </c>
      <c r="C17">
        <v>0.50900000000000001</v>
      </c>
      <c r="D17">
        <v>13067.5</v>
      </c>
      <c r="F17">
        <v>75000</v>
      </c>
      <c r="G17">
        <v>0.36099999999999999</v>
      </c>
      <c r="H17">
        <v>0.61699999999999999</v>
      </c>
      <c r="I17">
        <v>13213.4</v>
      </c>
      <c r="K17">
        <v>75000</v>
      </c>
      <c r="L17">
        <v>0.36299999999999999</v>
      </c>
      <c r="M17">
        <v>0.35599999999999998</v>
      </c>
      <c r="N17" t="s">
        <v>15</v>
      </c>
      <c r="P17">
        <v>75000</v>
      </c>
      <c r="Q17">
        <v>0.33900000000000002</v>
      </c>
      <c r="R17">
        <v>0.54500000000000004</v>
      </c>
      <c r="S17">
        <v>12943.4</v>
      </c>
      <c r="U17">
        <v>75000</v>
      </c>
      <c r="V17">
        <v>0.35299999999999998</v>
      </c>
      <c r="W17">
        <v>0.34</v>
      </c>
      <c r="X17" t="s">
        <v>19</v>
      </c>
      <c r="Z17">
        <v>75000</v>
      </c>
      <c r="AA17">
        <f t="shared" si="1"/>
        <v>0.35399999999999998</v>
      </c>
      <c r="AB17">
        <f t="shared" si="0"/>
        <v>0.47339999999999993</v>
      </c>
      <c r="AC17">
        <f>AVERAGE(D17,I17,N17,S17,X17)</f>
        <v>13074.766666666668</v>
      </c>
    </row>
    <row r="18" spans="1:29" x14ac:dyDescent="0.25">
      <c r="A18">
        <v>80000</v>
      </c>
      <c r="B18">
        <v>0.36899999999999999</v>
      </c>
      <c r="C18">
        <v>0.373</v>
      </c>
      <c r="D18">
        <v>14958.5</v>
      </c>
      <c r="F18">
        <v>80000</v>
      </c>
      <c r="G18">
        <v>0.38300000000000001</v>
      </c>
      <c r="H18">
        <v>0.36799999999999999</v>
      </c>
      <c r="I18" t="s">
        <v>14</v>
      </c>
      <c r="K18">
        <v>80000</v>
      </c>
      <c r="L18">
        <v>0.38700000000000001</v>
      </c>
      <c r="M18">
        <v>0.68</v>
      </c>
      <c r="N18" t="s">
        <v>16</v>
      </c>
      <c r="P18">
        <v>80000</v>
      </c>
      <c r="Q18">
        <v>0.36</v>
      </c>
      <c r="R18">
        <v>0.68100000000000005</v>
      </c>
      <c r="S18">
        <v>14857.9</v>
      </c>
      <c r="U18">
        <v>80000</v>
      </c>
      <c r="V18">
        <v>0.38</v>
      </c>
      <c r="W18">
        <v>0.65500000000000003</v>
      </c>
      <c r="X18">
        <v>15006.7</v>
      </c>
      <c r="Z18">
        <v>80000</v>
      </c>
      <c r="AA18">
        <f t="shared" si="1"/>
        <v>0.37580000000000002</v>
      </c>
      <c r="AB18">
        <f t="shared" si="0"/>
        <v>0.55140000000000011</v>
      </c>
      <c r="AC18">
        <f>AVERAGE(D18,I18,N18,S18,X18)</f>
        <v>14941.033333333335</v>
      </c>
    </row>
    <row r="19" spans="1:29" x14ac:dyDescent="0.25">
      <c r="A19">
        <v>85000</v>
      </c>
      <c r="B19">
        <v>0.38700000000000001</v>
      </c>
      <c r="C19">
        <v>0.38600000000000001</v>
      </c>
      <c r="D19">
        <v>16761.099999999999</v>
      </c>
      <c r="F19">
        <v>85000</v>
      </c>
      <c r="G19">
        <v>0.39900000000000002</v>
      </c>
      <c r="H19">
        <v>0.69899999999999995</v>
      </c>
      <c r="I19">
        <v>16983.2</v>
      </c>
      <c r="K19">
        <v>85000</v>
      </c>
      <c r="L19">
        <v>0.38700000000000001</v>
      </c>
      <c r="M19">
        <v>0.69899999999999995</v>
      </c>
      <c r="N19">
        <v>16931.5</v>
      </c>
      <c r="P19">
        <v>85000</v>
      </c>
      <c r="Q19">
        <v>0.39100000000000001</v>
      </c>
      <c r="R19">
        <v>0.38600000000000001</v>
      </c>
      <c r="S19">
        <v>16731.2</v>
      </c>
      <c r="U19">
        <v>85000</v>
      </c>
      <c r="V19">
        <v>0.40400000000000003</v>
      </c>
      <c r="W19">
        <v>0.68200000000000005</v>
      </c>
      <c r="X19">
        <v>16792.3</v>
      </c>
      <c r="Z19">
        <v>85000</v>
      </c>
      <c r="AA19">
        <f t="shared" si="1"/>
        <v>0.39360000000000001</v>
      </c>
      <c r="AB19">
        <f t="shared" ref="AB19:AB22" si="2">AVERAGE(C19,H19,M19,R19,W19)</f>
        <v>0.57040000000000002</v>
      </c>
      <c r="AC19">
        <f t="shared" ref="AC19:AC22" si="3">AVERAGE(D19,I19,N19,S19,X19)</f>
        <v>16839.86</v>
      </c>
    </row>
    <row r="20" spans="1:29" x14ac:dyDescent="0.25">
      <c r="A20">
        <v>90000</v>
      </c>
      <c r="B20">
        <v>0.433</v>
      </c>
      <c r="C20">
        <v>0.76700000000000002</v>
      </c>
      <c r="D20">
        <v>19095.8</v>
      </c>
      <c r="F20">
        <v>90000</v>
      </c>
      <c r="G20">
        <v>0.41799999999999998</v>
      </c>
      <c r="H20">
        <v>0.40600000000000003</v>
      </c>
      <c r="I20">
        <v>19210.5</v>
      </c>
      <c r="K20">
        <v>90000</v>
      </c>
      <c r="L20">
        <v>0.41299999999999998</v>
      </c>
      <c r="M20">
        <v>0.40899999999999997</v>
      </c>
      <c r="N20">
        <v>18765.3</v>
      </c>
      <c r="P20">
        <v>90000</v>
      </c>
      <c r="Q20">
        <v>0.42</v>
      </c>
      <c r="R20">
        <v>1.0009999999999999</v>
      </c>
      <c r="S20">
        <v>18832.099999999999</v>
      </c>
      <c r="U20">
        <v>90000</v>
      </c>
      <c r="V20">
        <v>0.41899999999999998</v>
      </c>
      <c r="W20">
        <v>0.75600000000000001</v>
      </c>
      <c r="X20">
        <v>18848.8</v>
      </c>
      <c r="Z20">
        <v>90000</v>
      </c>
      <c r="AA20">
        <f t="shared" si="1"/>
        <v>0.42059999999999997</v>
      </c>
      <c r="AB20">
        <f t="shared" si="2"/>
        <v>0.66780000000000006</v>
      </c>
      <c r="AC20">
        <f t="shared" si="3"/>
        <v>18950.500000000004</v>
      </c>
    </row>
    <row r="21" spans="1:29" x14ac:dyDescent="0.25">
      <c r="A21">
        <v>95000</v>
      </c>
      <c r="B21">
        <v>0.438</v>
      </c>
      <c r="C21">
        <v>0.746</v>
      </c>
      <c r="D21" t="s">
        <v>12</v>
      </c>
      <c r="F21">
        <v>95000</v>
      </c>
      <c r="G21">
        <v>0.443</v>
      </c>
      <c r="H21">
        <v>0.437</v>
      </c>
      <c r="I21">
        <v>21194.2</v>
      </c>
      <c r="K21">
        <v>95000</v>
      </c>
      <c r="L21">
        <v>0.437</v>
      </c>
      <c r="M21">
        <v>0.42899999999999999</v>
      </c>
      <c r="N21" t="s">
        <v>17</v>
      </c>
      <c r="P21">
        <v>95000</v>
      </c>
      <c r="Q21">
        <v>0.432</v>
      </c>
      <c r="R21">
        <v>0.751</v>
      </c>
      <c r="S21">
        <v>21015.7</v>
      </c>
      <c r="U21">
        <v>95000</v>
      </c>
      <c r="V21">
        <v>0.438</v>
      </c>
      <c r="W21">
        <v>0.78100000000000003</v>
      </c>
      <c r="X21">
        <v>20941.2</v>
      </c>
      <c r="Z21">
        <v>95000</v>
      </c>
      <c r="AA21">
        <f t="shared" si="1"/>
        <v>0.43760000000000004</v>
      </c>
      <c r="AB21">
        <f t="shared" si="2"/>
        <v>0.62880000000000003</v>
      </c>
      <c r="AC21">
        <f t="shared" si="3"/>
        <v>21050.366666666669</v>
      </c>
    </row>
    <row r="22" spans="1:29" x14ac:dyDescent="0.25">
      <c r="A22">
        <v>100000</v>
      </c>
      <c r="B22">
        <v>0.47</v>
      </c>
      <c r="C22">
        <v>0.81499999999999995</v>
      </c>
      <c r="D22">
        <v>23228.799999999999</v>
      </c>
      <c r="F22">
        <v>100000</v>
      </c>
      <c r="G22">
        <v>0.46700000000000003</v>
      </c>
      <c r="H22">
        <v>0.45600000000000002</v>
      </c>
      <c r="I22">
        <v>23737.200000000001</v>
      </c>
      <c r="K22">
        <v>100000</v>
      </c>
      <c r="L22">
        <v>0.45900000000000002</v>
      </c>
      <c r="M22">
        <v>0.90900000000000003</v>
      </c>
      <c r="N22">
        <v>23346.6</v>
      </c>
      <c r="P22">
        <v>100000</v>
      </c>
      <c r="Q22">
        <v>0.45800000000000002</v>
      </c>
      <c r="R22">
        <v>0.78300000000000003</v>
      </c>
      <c r="S22" t="s">
        <v>18</v>
      </c>
      <c r="U22">
        <v>100000</v>
      </c>
      <c r="V22">
        <v>0.46100000000000002</v>
      </c>
      <c r="W22">
        <v>0.79400000000000004</v>
      </c>
      <c r="X22">
        <v>24621.599999999999</v>
      </c>
      <c r="Z22">
        <v>100000</v>
      </c>
      <c r="AA22">
        <f>AVERAGE(B22,G22,L22,Q22,V22)</f>
        <v>0.46299999999999997</v>
      </c>
      <c r="AB22">
        <f t="shared" si="2"/>
        <v>0.75139999999999996</v>
      </c>
      <c r="AC22">
        <f t="shared" si="3"/>
        <v>23733.550000000003</v>
      </c>
    </row>
  </sheetData>
  <mergeCells count="6">
    <mergeCell ref="Z1:AC1"/>
    <mergeCell ref="A1:D1"/>
    <mergeCell ref="F1:I1"/>
    <mergeCell ref="K1:N1"/>
    <mergeCell ref="P1:S1"/>
    <mergeCell ref="U1:X1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BD90-AB34-44D2-A690-9FC4A90F95F7}">
  <dimension ref="A1:Q22"/>
  <sheetViews>
    <sheetView zoomScale="103" workbookViewId="0">
      <selection activeCell="P3" sqref="P3:Q22"/>
    </sheetView>
  </sheetViews>
  <sheetFormatPr defaultRowHeight="15" x14ac:dyDescent="0.25"/>
  <cols>
    <col min="1" max="3" width="11.140625" bestFit="1" customWidth="1"/>
  </cols>
  <sheetData>
    <row r="1" spans="1:17" x14ac:dyDescent="0.25">
      <c r="A1" s="2">
        <v>1</v>
      </c>
      <c r="B1" s="2"/>
      <c r="D1" s="2">
        <v>2</v>
      </c>
      <c r="E1" s="2"/>
      <c r="G1" s="2">
        <v>3</v>
      </c>
      <c r="H1" s="2"/>
      <c r="J1" s="2">
        <v>4</v>
      </c>
      <c r="K1" s="2"/>
      <c r="M1" s="2">
        <v>5</v>
      </c>
      <c r="N1" s="2"/>
      <c r="P1" s="2" t="s">
        <v>10</v>
      </c>
      <c r="Q1" s="2"/>
    </row>
    <row r="2" spans="1:17" x14ac:dyDescent="0.25">
      <c r="A2" t="s">
        <v>3</v>
      </c>
      <c r="B2" t="s">
        <v>4</v>
      </c>
      <c r="D2" t="s">
        <v>3</v>
      </c>
      <c r="E2" t="s">
        <v>4</v>
      </c>
      <c r="G2" t="s">
        <v>3</v>
      </c>
      <c r="H2" t="s">
        <v>4</v>
      </c>
      <c r="J2" t="s">
        <v>3</v>
      </c>
      <c r="K2" t="s">
        <v>4</v>
      </c>
      <c r="M2" t="s">
        <v>3</v>
      </c>
      <c r="N2" t="s">
        <v>4</v>
      </c>
      <c r="P2" t="s">
        <v>3</v>
      </c>
      <c r="Q2" t="s">
        <v>4</v>
      </c>
    </row>
    <row r="3" spans="1:17" x14ac:dyDescent="0.25">
      <c r="A3">
        <v>500000</v>
      </c>
      <c r="B3">
        <v>9.9000000000000005E-2</v>
      </c>
      <c r="D3">
        <v>500000</v>
      </c>
      <c r="E3">
        <v>8.5000000000000006E-2</v>
      </c>
      <c r="G3">
        <v>500000</v>
      </c>
      <c r="H3">
        <v>0.08</v>
      </c>
      <c r="J3">
        <v>500000</v>
      </c>
      <c r="K3">
        <v>8.5000000000000006E-2</v>
      </c>
      <c r="M3">
        <v>500000</v>
      </c>
      <c r="N3">
        <v>8.2000000000000003E-2</v>
      </c>
      <c r="P3">
        <v>500000</v>
      </c>
      <c r="Q3">
        <f>AVERAGE(B3,E3,H3,K3,N3)</f>
        <v>8.6200000000000013E-2</v>
      </c>
    </row>
    <row r="4" spans="1:17" x14ac:dyDescent="0.25">
      <c r="A4">
        <v>1000000</v>
      </c>
      <c r="B4">
        <v>9.2999999999999999E-2</v>
      </c>
      <c r="D4">
        <v>1000000</v>
      </c>
      <c r="E4">
        <v>8.5000000000000006E-2</v>
      </c>
      <c r="G4">
        <v>1000000</v>
      </c>
      <c r="H4">
        <v>9.2999999999999999E-2</v>
      </c>
      <c r="J4">
        <v>1000000</v>
      </c>
      <c r="K4">
        <v>8.5000000000000006E-2</v>
      </c>
      <c r="M4">
        <v>1000000</v>
      </c>
      <c r="N4">
        <v>8.8999999999999996E-2</v>
      </c>
      <c r="P4">
        <v>1000000</v>
      </c>
      <c r="Q4">
        <f t="shared" ref="Q4:Q22" si="0">AVERAGE(B4,E4,H4,K4,N4)</f>
        <v>8.900000000000001E-2</v>
      </c>
    </row>
    <row r="5" spans="1:17" x14ac:dyDescent="0.25">
      <c r="A5">
        <v>1500000</v>
      </c>
      <c r="B5">
        <v>8.7999999999999995E-2</v>
      </c>
      <c r="D5">
        <v>1500000</v>
      </c>
      <c r="E5">
        <v>8.6999999999999994E-2</v>
      </c>
      <c r="G5">
        <v>1500000</v>
      </c>
      <c r="H5">
        <v>8.5000000000000006E-2</v>
      </c>
      <c r="J5">
        <v>1500000</v>
      </c>
      <c r="K5">
        <v>8.5000000000000006E-2</v>
      </c>
      <c r="M5">
        <v>1500000</v>
      </c>
      <c r="N5">
        <v>9.2999999999999999E-2</v>
      </c>
      <c r="P5">
        <v>1500000</v>
      </c>
      <c r="Q5">
        <f t="shared" si="0"/>
        <v>8.7600000000000011E-2</v>
      </c>
    </row>
    <row r="6" spans="1:17" x14ac:dyDescent="0.25">
      <c r="A6">
        <v>2000000</v>
      </c>
      <c r="B6">
        <v>0.13100000000000001</v>
      </c>
      <c r="D6">
        <v>2000000</v>
      </c>
      <c r="E6">
        <v>8.3000000000000004E-2</v>
      </c>
      <c r="G6">
        <v>2000000</v>
      </c>
      <c r="H6">
        <v>8.6999999999999994E-2</v>
      </c>
      <c r="J6">
        <v>2000000</v>
      </c>
      <c r="K6">
        <v>8.2000000000000003E-2</v>
      </c>
      <c r="M6">
        <v>2000000</v>
      </c>
      <c r="N6">
        <v>8.7999999999999995E-2</v>
      </c>
      <c r="P6">
        <v>2000000</v>
      </c>
      <c r="Q6">
        <f t="shared" si="0"/>
        <v>9.420000000000002E-2</v>
      </c>
    </row>
    <row r="7" spans="1:17" x14ac:dyDescent="0.25">
      <c r="A7">
        <v>2500000</v>
      </c>
      <c r="B7">
        <v>8.6999999999999994E-2</v>
      </c>
      <c r="D7">
        <v>2500000</v>
      </c>
      <c r="E7">
        <v>8.2000000000000003E-2</v>
      </c>
      <c r="G7">
        <v>2500000</v>
      </c>
      <c r="H7">
        <v>8.3000000000000004E-2</v>
      </c>
      <c r="J7">
        <v>2500000</v>
      </c>
      <c r="K7">
        <v>8.2000000000000003E-2</v>
      </c>
      <c r="M7">
        <v>2500000</v>
      </c>
      <c r="N7">
        <v>8.7999999999999995E-2</v>
      </c>
      <c r="P7">
        <v>2500000</v>
      </c>
      <c r="Q7">
        <f t="shared" si="0"/>
        <v>8.4400000000000003E-2</v>
      </c>
    </row>
    <row r="8" spans="1:17" x14ac:dyDescent="0.25">
      <c r="A8">
        <v>3000000</v>
      </c>
      <c r="B8">
        <v>9.0999999999999998E-2</v>
      </c>
      <c r="D8">
        <v>3000000</v>
      </c>
      <c r="E8">
        <v>8.3000000000000004E-2</v>
      </c>
      <c r="G8">
        <v>3000000</v>
      </c>
      <c r="H8">
        <v>8.5999999999999993E-2</v>
      </c>
      <c r="J8">
        <v>3000000</v>
      </c>
      <c r="K8">
        <v>8.5000000000000006E-2</v>
      </c>
      <c r="M8">
        <v>3000000</v>
      </c>
      <c r="N8">
        <v>9.4E-2</v>
      </c>
      <c r="P8">
        <v>3000000</v>
      </c>
      <c r="Q8">
        <f t="shared" si="0"/>
        <v>8.7800000000000017E-2</v>
      </c>
    </row>
    <row r="9" spans="1:17" x14ac:dyDescent="0.25">
      <c r="A9">
        <v>3500000</v>
      </c>
      <c r="B9">
        <v>8.6999999999999994E-2</v>
      </c>
      <c r="D9">
        <v>3500000</v>
      </c>
      <c r="E9">
        <v>8.3000000000000004E-2</v>
      </c>
      <c r="G9">
        <v>3500000</v>
      </c>
      <c r="H9">
        <v>9.1999999999999998E-2</v>
      </c>
      <c r="J9">
        <v>3500000</v>
      </c>
      <c r="K9">
        <v>8.3000000000000004E-2</v>
      </c>
      <c r="M9">
        <v>3500000</v>
      </c>
      <c r="N9">
        <v>8.6999999999999994E-2</v>
      </c>
      <c r="P9">
        <v>3500000</v>
      </c>
      <c r="Q9">
        <f t="shared" si="0"/>
        <v>8.6400000000000005E-2</v>
      </c>
    </row>
    <row r="10" spans="1:17" x14ac:dyDescent="0.25">
      <c r="A10">
        <v>4000000</v>
      </c>
      <c r="B10">
        <v>9.2999999999999999E-2</v>
      </c>
      <c r="D10">
        <v>4000000</v>
      </c>
      <c r="E10">
        <v>8.5999999999999993E-2</v>
      </c>
      <c r="G10">
        <v>4000000</v>
      </c>
      <c r="H10">
        <v>8.8999999999999996E-2</v>
      </c>
      <c r="J10">
        <v>4000000</v>
      </c>
      <c r="K10">
        <v>8.5999999999999993E-2</v>
      </c>
      <c r="M10">
        <v>4000000</v>
      </c>
      <c r="N10">
        <v>8.6999999999999994E-2</v>
      </c>
      <c r="P10">
        <v>4000000</v>
      </c>
      <c r="Q10">
        <f t="shared" si="0"/>
        <v>8.8199999999999987E-2</v>
      </c>
    </row>
    <row r="11" spans="1:17" x14ac:dyDescent="0.25">
      <c r="A11">
        <v>4500000</v>
      </c>
      <c r="B11">
        <v>0.09</v>
      </c>
      <c r="D11">
        <v>4500000</v>
      </c>
      <c r="E11">
        <v>8.8999999999999996E-2</v>
      </c>
      <c r="G11">
        <v>4500000</v>
      </c>
      <c r="H11">
        <v>8.3000000000000004E-2</v>
      </c>
      <c r="J11">
        <v>4500000</v>
      </c>
      <c r="K11">
        <v>8.6999999999999994E-2</v>
      </c>
      <c r="M11">
        <v>4500000</v>
      </c>
      <c r="N11">
        <v>8.7999999999999995E-2</v>
      </c>
      <c r="P11">
        <v>4500000</v>
      </c>
      <c r="Q11">
        <f t="shared" si="0"/>
        <v>8.7399999999999992E-2</v>
      </c>
    </row>
    <row r="12" spans="1:17" x14ac:dyDescent="0.25">
      <c r="A12">
        <v>5000000</v>
      </c>
      <c r="B12">
        <v>8.5999999999999993E-2</v>
      </c>
      <c r="D12">
        <v>5000000</v>
      </c>
      <c r="E12">
        <v>8.5999999999999993E-2</v>
      </c>
      <c r="G12">
        <v>5000000</v>
      </c>
      <c r="H12">
        <v>8.5000000000000006E-2</v>
      </c>
      <c r="J12">
        <v>5000000</v>
      </c>
      <c r="K12">
        <v>8.5999999999999993E-2</v>
      </c>
      <c r="M12">
        <v>5000000</v>
      </c>
      <c r="N12">
        <v>9.1999999999999998E-2</v>
      </c>
      <c r="P12">
        <v>5000000</v>
      </c>
      <c r="Q12">
        <f t="shared" si="0"/>
        <v>8.6999999999999994E-2</v>
      </c>
    </row>
    <row r="13" spans="1:17" x14ac:dyDescent="0.25">
      <c r="A13">
        <v>5500000</v>
      </c>
      <c r="B13">
        <v>8.6999999999999994E-2</v>
      </c>
      <c r="D13">
        <v>5500000</v>
      </c>
      <c r="E13">
        <v>8.7999999999999995E-2</v>
      </c>
      <c r="G13">
        <v>5500000</v>
      </c>
      <c r="H13">
        <v>8.6999999999999994E-2</v>
      </c>
      <c r="J13">
        <v>5500000</v>
      </c>
      <c r="K13">
        <v>8.5999999999999993E-2</v>
      </c>
      <c r="M13">
        <v>5500000</v>
      </c>
      <c r="N13">
        <v>8.5000000000000006E-2</v>
      </c>
      <c r="P13">
        <v>5500000</v>
      </c>
      <c r="Q13">
        <f t="shared" si="0"/>
        <v>8.6599999999999996E-2</v>
      </c>
    </row>
    <row r="14" spans="1:17" x14ac:dyDescent="0.25">
      <c r="A14">
        <v>6000000</v>
      </c>
      <c r="B14">
        <v>8.5999999999999993E-2</v>
      </c>
      <c r="D14">
        <v>6000000</v>
      </c>
      <c r="E14">
        <v>8.6999999999999994E-2</v>
      </c>
      <c r="G14">
        <v>6000000</v>
      </c>
      <c r="H14">
        <v>8.6999999999999994E-2</v>
      </c>
      <c r="J14">
        <v>6000000</v>
      </c>
      <c r="K14">
        <v>8.5000000000000006E-2</v>
      </c>
      <c r="M14">
        <v>6000000</v>
      </c>
      <c r="N14">
        <v>8.5000000000000006E-2</v>
      </c>
      <c r="P14">
        <v>6000000</v>
      </c>
      <c r="Q14">
        <f t="shared" si="0"/>
        <v>8.6000000000000007E-2</v>
      </c>
    </row>
    <row r="15" spans="1:17" x14ac:dyDescent="0.25">
      <c r="A15">
        <v>6500000</v>
      </c>
      <c r="B15">
        <v>8.3000000000000004E-2</v>
      </c>
      <c r="D15">
        <v>6500000</v>
      </c>
      <c r="E15">
        <v>8.5999999999999993E-2</v>
      </c>
      <c r="G15">
        <v>6500000</v>
      </c>
      <c r="H15">
        <v>8.5999999999999993E-2</v>
      </c>
      <c r="J15">
        <v>6500000</v>
      </c>
      <c r="K15">
        <v>8.7999999999999995E-2</v>
      </c>
      <c r="M15">
        <v>6500000</v>
      </c>
      <c r="N15">
        <v>8.6999999999999994E-2</v>
      </c>
      <c r="P15">
        <v>6500000</v>
      </c>
      <c r="Q15">
        <f t="shared" si="0"/>
        <v>8.5999999999999993E-2</v>
      </c>
    </row>
    <row r="16" spans="1:17" x14ac:dyDescent="0.25">
      <c r="A16">
        <v>7000000</v>
      </c>
      <c r="B16">
        <v>8.6999999999999994E-2</v>
      </c>
      <c r="D16">
        <v>7000000</v>
      </c>
      <c r="E16">
        <v>8.5000000000000006E-2</v>
      </c>
      <c r="G16">
        <v>7000000</v>
      </c>
      <c r="H16">
        <v>8.6999999999999994E-2</v>
      </c>
      <c r="J16">
        <v>7000000</v>
      </c>
      <c r="K16">
        <v>8.6999999999999994E-2</v>
      </c>
      <c r="M16">
        <v>7000000</v>
      </c>
      <c r="N16">
        <v>0.1</v>
      </c>
      <c r="P16">
        <v>7000000</v>
      </c>
      <c r="Q16">
        <f t="shared" si="0"/>
        <v>8.9199999999999988E-2</v>
      </c>
    </row>
    <row r="17" spans="1:17" x14ac:dyDescent="0.25">
      <c r="A17">
        <v>7500000</v>
      </c>
      <c r="B17">
        <v>8.5000000000000006E-2</v>
      </c>
      <c r="D17">
        <v>7500000</v>
      </c>
      <c r="E17">
        <v>8.4000000000000005E-2</v>
      </c>
      <c r="G17">
        <v>7500000</v>
      </c>
      <c r="H17">
        <v>8.6999999999999994E-2</v>
      </c>
      <c r="J17">
        <v>7500000</v>
      </c>
      <c r="K17">
        <v>8.7999999999999995E-2</v>
      </c>
      <c r="M17">
        <v>7500000</v>
      </c>
      <c r="N17">
        <v>8.6999999999999994E-2</v>
      </c>
      <c r="P17">
        <v>7500000</v>
      </c>
      <c r="Q17">
        <f t="shared" si="0"/>
        <v>8.6199999999999985E-2</v>
      </c>
    </row>
    <row r="18" spans="1:17" x14ac:dyDescent="0.25">
      <c r="A18">
        <v>8000000</v>
      </c>
      <c r="B18">
        <v>8.6999999999999994E-2</v>
      </c>
      <c r="D18">
        <v>8000000</v>
      </c>
      <c r="E18">
        <v>8.5000000000000006E-2</v>
      </c>
      <c r="G18">
        <v>8000000</v>
      </c>
      <c r="H18">
        <v>8.8999999999999996E-2</v>
      </c>
      <c r="J18">
        <v>8000000</v>
      </c>
      <c r="K18">
        <v>8.5999999999999993E-2</v>
      </c>
      <c r="M18">
        <v>8000000</v>
      </c>
      <c r="N18">
        <v>8.5000000000000006E-2</v>
      </c>
      <c r="P18">
        <v>8000000</v>
      </c>
      <c r="Q18">
        <f t="shared" si="0"/>
        <v>8.6400000000000005E-2</v>
      </c>
    </row>
    <row r="19" spans="1:17" x14ac:dyDescent="0.25">
      <c r="A19">
        <v>8500000</v>
      </c>
      <c r="B19">
        <v>8.5000000000000006E-2</v>
      </c>
      <c r="D19">
        <v>8500000</v>
      </c>
      <c r="E19">
        <v>8.5999999999999993E-2</v>
      </c>
      <c r="G19">
        <v>8500000</v>
      </c>
      <c r="H19">
        <v>8.6999999999999994E-2</v>
      </c>
      <c r="J19">
        <v>8500000</v>
      </c>
      <c r="K19">
        <v>8.5999999999999993E-2</v>
      </c>
      <c r="M19">
        <v>8500000</v>
      </c>
      <c r="N19">
        <v>8.6999999999999994E-2</v>
      </c>
      <c r="P19">
        <v>8500000</v>
      </c>
      <c r="Q19">
        <f t="shared" si="0"/>
        <v>8.6199999999999985E-2</v>
      </c>
    </row>
    <row r="20" spans="1:17" x14ac:dyDescent="0.25">
      <c r="A20">
        <v>9000000</v>
      </c>
      <c r="B20">
        <v>8.6999999999999994E-2</v>
      </c>
      <c r="D20">
        <v>9000000</v>
      </c>
      <c r="E20">
        <v>8.5999999999999993E-2</v>
      </c>
      <c r="G20">
        <v>9000000</v>
      </c>
      <c r="H20">
        <v>8.7999999999999995E-2</v>
      </c>
      <c r="J20">
        <v>9000000</v>
      </c>
      <c r="K20">
        <v>8.8999999999999996E-2</v>
      </c>
      <c r="M20">
        <v>9000000</v>
      </c>
      <c r="N20">
        <v>8.5999999999999993E-2</v>
      </c>
      <c r="P20">
        <v>9000000</v>
      </c>
      <c r="Q20">
        <f t="shared" si="0"/>
        <v>8.7199999999999986E-2</v>
      </c>
    </row>
    <row r="21" spans="1:17" x14ac:dyDescent="0.25">
      <c r="A21">
        <v>9500000</v>
      </c>
      <c r="B21">
        <v>8.6999999999999994E-2</v>
      </c>
      <c r="D21">
        <v>9500000</v>
      </c>
      <c r="E21">
        <v>8.5999999999999993E-2</v>
      </c>
      <c r="G21">
        <v>9500000</v>
      </c>
      <c r="H21">
        <v>8.6999999999999994E-2</v>
      </c>
      <c r="J21">
        <v>9500000</v>
      </c>
      <c r="K21">
        <v>8.6999999999999994E-2</v>
      </c>
      <c r="M21">
        <v>9500000</v>
      </c>
      <c r="N21">
        <v>8.5999999999999993E-2</v>
      </c>
      <c r="P21">
        <v>9500000</v>
      </c>
      <c r="Q21">
        <f t="shared" si="0"/>
        <v>8.6599999999999983E-2</v>
      </c>
    </row>
    <row r="22" spans="1:17" x14ac:dyDescent="0.25">
      <c r="A22">
        <v>10000000</v>
      </c>
      <c r="B22">
        <v>8.5000000000000006E-2</v>
      </c>
      <c r="D22">
        <v>10000000</v>
      </c>
      <c r="E22">
        <v>8.6999999999999994E-2</v>
      </c>
      <c r="G22">
        <v>10000000</v>
      </c>
      <c r="H22">
        <v>8.6999999999999994E-2</v>
      </c>
      <c r="J22">
        <v>10000000</v>
      </c>
      <c r="K22">
        <v>8.5999999999999993E-2</v>
      </c>
      <c r="M22">
        <v>10000000</v>
      </c>
      <c r="N22">
        <v>8.5000000000000006E-2</v>
      </c>
      <c r="P22">
        <v>10000000</v>
      </c>
      <c r="Q22">
        <f t="shared" si="0"/>
        <v>8.5999999999999993E-2</v>
      </c>
    </row>
  </sheetData>
  <mergeCells count="6">
    <mergeCell ref="P1:Q1"/>
    <mergeCell ref="A1:B1"/>
    <mergeCell ref="D1:E1"/>
    <mergeCell ref="G1:H1"/>
    <mergeCell ref="J1:K1"/>
    <mergeCell ref="M1:N1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E1192-F27C-403C-B7F6-467C6B37DB14}">
  <dimension ref="A1:Q22"/>
  <sheetViews>
    <sheetView workbookViewId="0">
      <selection activeCell="P3" sqref="P3:Q22"/>
    </sheetView>
  </sheetViews>
  <sheetFormatPr defaultRowHeight="15" x14ac:dyDescent="0.25"/>
  <cols>
    <col min="1" max="3" width="11.140625" bestFit="1" customWidth="1"/>
  </cols>
  <sheetData>
    <row r="1" spans="1:17" x14ac:dyDescent="0.25">
      <c r="A1" s="2">
        <v>1</v>
      </c>
      <c r="B1" s="2"/>
      <c r="D1" s="2">
        <v>2</v>
      </c>
      <c r="E1" s="2"/>
      <c r="G1" s="2">
        <v>3</v>
      </c>
      <c r="H1" s="2"/>
      <c r="J1" s="2">
        <v>4</v>
      </c>
      <c r="K1" s="2"/>
      <c r="M1" s="2">
        <v>5</v>
      </c>
      <c r="N1" s="2"/>
      <c r="P1" s="2" t="s">
        <v>10</v>
      </c>
      <c r="Q1" s="2"/>
    </row>
    <row r="2" spans="1:17" x14ac:dyDescent="0.25">
      <c r="A2" t="s">
        <v>3</v>
      </c>
      <c r="B2" t="s">
        <v>4</v>
      </c>
      <c r="D2" t="s">
        <v>3</v>
      </c>
      <c r="E2" t="s">
        <v>4</v>
      </c>
      <c r="G2" t="s">
        <v>3</v>
      </c>
      <c r="H2" t="s">
        <v>4</v>
      </c>
      <c r="J2" t="s">
        <v>3</v>
      </c>
      <c r="K2" t="s">
        <v>4</v>
      </c>
      <c r="M2" t="s">
        <v>3</v>
      </c>
      <c r="N2" t="s">
        <v>4</v>
      </c>
      <c r="P2" t="s">
        <v>3</v>
      </c>
      <c r="Q2" t="s">
        <v>4</v>
      </c>
    </row>
    <row r="3" spans="1:17" x14ac:dyDescent="0.25">
      <c r="A3">
        <v>500000</v>
      </c>
      <c r="B3">
        <v>0.108</v>
      </c>
      <c r="D3">
        <v>500000</v>
      </c>
      <c r="E3">
        <v>0.1</v>
      </c>
      <c r="G3">
        <v>500000</v>
      </c>
      <c r="H3">
        <v>9.7000000000000003E-2</v>
      </c>
      <c r="J3">
        <v>500000</v>
      </c>
      <c r="K3">
        <v>9.5000000000000001E-2</v>
      </c>
      <c r="M3">
        <v>500000</v>
      </c>
      <c r="N3">
        <v>0.10100000000000001</v>
      </c>
      <c r="P3">
        <v>500000</v>
      </c>
      <c r="Q3">
        <f>AVERAGE(B3,E3,H3,K3,N3)</f>
        <v>0.1002</v>
      </c>
    </row>
    <row r="4" spans="1:17" x14ac:dyDescent="0.25">
      <c r="A4">
        <v>1000000</v>
      </c>
      <c r="B4">
        <v>0.106</v>
      </c>
      <c r="D4">
        <v>1000000</v>
      </c>
      <c r="E4">
        <v>0.10299999999999999</v>
      </c>
      <c r="G4">
        <v>1000000</v>
      </c>
      <c r="H4">
        <v>9.6000000000000002E-2</v>
      </c>
      <c r="J4">
        <v>1000000</v>
      </c>
      <c r="K4">
        <v>9.8000000000000004E-2</v>
      </c>
      <c r="M4">
        <v>1000000</v>
      </c>
      <c r="N4">
        <v>0.106</v>
      </c>
      <c r="P4">
        <v>1000000</v>
      </c>
      <c r="Q4">
        <f t="shared" ref="Q4:Q22" si="0">AVERAGE(B4,E4,H4,K4,N4)</f>
        <v>0.1018</v>
      </c>
    </row>
    <row r="5" spans="1:17" x14ac:dyDescent="0.25">
      <c r="A5">
        <v>1500000</v>
      </c>
      <c r="B5">
        <v>0.10100000000000001</v>
      </c>
      <c r="D5">
        <v>1500000</v>
      </c>
      <c r="E5">
        <v>9.9000000000000005E-2</v>
      </c>
      <c r="G5">
        <v>1500000</v>
      </c>
      <c r="H5">
        <v>0.10100000000000001</v>
      </c>
      <c r="J5">
        <v>1500000</v>
      </c>
      <c r="K5">
        <v>9.9000000000000005E-2</v>
      </c>
      <c r="M5">
        <v>1500000</v>
      </c>
      <c r="N5">
        <v>0.10199999999999999</v>
      </c>
      <c r="P5">
        <v>1500000</v>
      </c>
      <c r="Q5">
        <f t="shared" si="0"/>
        <v>0.1004</v>
      </c>
    </row>
    <row r="6" spans="1:17" x14ac:dyDescent="0.25">
      <c r="A6">
        <v>2000000</v>
      </c>
      <c r="B6">
        <v>0.10100000000000001</v>
      </c>
      <c r="D6">
        <v>2000000</v>
      </c>
      <c r="E6">
        <v>9.9000000000000005E-2</v>
      </c>
      <c r="G6">
        <v>2000000</v>
      </c>
      <c r="H6">
        <v>0.10199999999999999</v>
      </c>
      <c r="J6">
        <v>2000000</v>
      </c>
      <c r="K6">
        <v>0.10299999999999999</v>
      </c>
      <c r="M6">
        <v>2000000</v>
      </c>
      <c r="N6">
        <v>0.10199999999999999</v>
      </c>
      <c r="P6">
        <v>2000000</v>
      </c>
      <c r="Q6">
        <f t="shared" si="0"/>
        <v>0.1014</v>
      </c>
    </row>
    <row r="7" spans="1:17" x14ac:dyDescent="0.25">
      <c r="A7">
        <v>2500000</v>
      </c>
      <c r="B7">
        <v>0.104</v>
      </c>
      <c r="D7">
        <v>2500000</v>
      </c>
      <c r="E7">
        <v>0.10100000000000001</v>
      </c>
      <c r="G7">
        <v>2500000</v>
      </c>
      <c r="H7">
        <v>0.104</v>
      </c>
      <c r="J7">
        <v>2500000</v>
      </c>
      <c r="K7">
        <v>9.8000000000000004E-2</v>
      </c>
      <c r="M7">
        <v>2500000</v>
      </c>
      <c r="N7">
        <v>0.104</v>
      </c>
      <c r="P7">
        <v>2500000</v>
      </c>
      <c r="Q7">
        <f t="shared" si="0"/>
        <v>0.1022</v>
      </c>
    </row>
    <row r="8" spans="1:17" x14ac:dyDescent="0.25">
      <c r="A8">
        <v>3000000</v>
      </c>
      <c r="B8">
        <v>0.107</v>
      </c>
      <c r="D8">
        <v>3000000</v>
      </c>
      <c r="E8">
        <v>0.10100000000000001</v>
      </c>
      <c r="G8">
        <v>3000000</v>
      </c>
      <c r="H8">
        <v>0.1</v>
      </c>
      <c r="J8">
        <v>3000000</v>
      </c>
      <c r="K8">
        <v>0.10299999999999999</v>
      </c>
      <c r="M8">
        <v>3000000</v>
      </c>
      <c r="N8">
        <v>0.11700000000000001</v>
      </c>
      <c r="P8">
        <v>3000000</v>
      </c>
      <c r="Q8">
        <f t="shared" si="0"/>
        <v>0.1056</v>
      </c>
    </row>
    <row r="9" spans="1:17" x14ac:dyDescent="0.25">
      <c r="A9">
        <v>3500000</v>
      </c>
      <c r="B9">
        <v>0.10199999999999999</v>
      </c>
      <c r="D9">
        <v>3500000</v>
      </c>
      <c r="E9">
        <v>0.1</v>
      </c>
      <c r="G9">
        <v>3500000</v>
      </c>
      <c r="H9">
        <v>0.10199999999999999</v>
      </c>
      <c r="J9">
        <v>3500000</v>
      </c>
      <c r="K9">
        <v>0.10100000000000001</v>
      </c>
      <c r="M9">
        <v>3500000</v>
      </c>
      <c r="N9">
        <v>0.10100000000000001</v>
      </c>
      <c r="P9">
        <v>3500000</v>
      </c>
      <c r="Q9">
        <f t="shared" si="0"/>
        <v>0.1012</v>
      </c>
    </row>
    <row r="10" spans="1:17" x14ac:dyDescent="0.25">
      <c r="A10">
        <v>4000000</v>
      </c>
      <c r="B10">
        <v>0.1</v>
      </c>
      <c r="D10">
        <v>4000000</v>
      </c>
      <c r="E10">
        <v>0.1</v>
      </c>
      <c r="G10">
        <v>4000000</v>
      </c>
      <c r="H10">
        <v>0.1</v>
      </c>
      <c r="J10">
        <v>4000000</v>
      </c>
      <c r="K10">
        <v>9.9000000000000005E-2</v>
      </c>
      <c r="M10">
        <v>4000000</v>
      </c>
      <c r="N10">
        <v>0.10199999999999999</v>
      </c>
      <c r="P10">
        <v>4000000</v>
      </c>
      <c r="Q10">
        <f t="shared" si="0"/>
        <v>0.1002</v>
      </c>
    </row>
    <row r="11" spans="1:17" x14ac:dyDescent="0.25">
      <c r="A11">
        <v>4500000</v>
      </c>
      <c r="B11">
        <v>0.1</v>
      </c>
      <c r="D11">
        <v>4500000</v>
      </c>
      <c r="E11">
        <v>9.9000000000000005E-2</v>
      </c>
      <c r="G11">
        <v>4500000</v>
      </c>
      <c r="H11">
        <v>0.1</v>
      </c>
      <c r="J11">
        <v>4500000</v>
      </c>
      <c r="K11">
        <v>0.1</v>
      </c>
      <c r="M11">
        <v>4500000</v>
      </c>
      <c r="N11">
        <v>0.10299999999999999</v>
      </c>
      <c r="P11">
        <v>4500000</v>
      </c>
      <c r="Q11">
        <f t="shared" si="0"/>
        <v>0.1004</v>
      </c>
    </row>
    <row r="12" spans="1:17" x14ac:dyDescent="0.25">
      <c r="A12">
        <v>5000000</v>
      </c>
      <c r="B12">
        <v>9.8000000000000004E-2</v>
      </c>
      <c r="D12">
        <v>5000000</v>
      </c>
      <c r="E12">
        <v>0.10199999999999999</v>
      </c>
      <c r="G12">
        <v>5000000</v>
      </c>
      <c r="H12">
        <v>9.8000000000000004E-2</v>
      </c>
      <c r="J12">
        <v>5000000</v>
      </c>
      <c r="K12">
        <v>0.1</v>
      </c>
      <c r="M12">
        <v>5000000</v>
      </c>
      <c r="N12">
        <v>9.8000000000000004E-2</v>
      </c>
      <c r="P12">
        <v>5000000</v>
      </c>
      <c r="Q12">
        <f t="shared" si="0"/>
        <v>9.9199999999999997E-2</v>
      </c>
    </row>
    <row r="13" spans="1:17" x14ac:dyDescent="0.25">
      <c r="A13">
        <v>5500000</v>
      </c>
      <c r="B13">
        <v>9.9000000000000005E-2</v>
      </c>
      <c r="D13">
        <v>5500000</v>
      </c>
      <c r="E13">
        <v>0.1</v>
      </c>
      <c r="G13">
        <v>5500000</v>
      </c>
      <c r="H13">
        <v>9.9000000000000005E-2</v>
      </c>
      <c r="J13">
        <v>5500000</v>
      </c>
      <c r="K13">
        <v>0.10199999999999999</v>
      </c>
      <c r="M13">
        <v>5500000</v>
      </c>
      <c r="N13">
        <v>9.9000000000000005E-2</v>
      </c>
      <c r="P13">
        <v>5500000</v>
      </c>
      <c r="Q13">
        <f t="shared" si="0"/>
        <v>9.98E-2</v>
      </c>
    </row>
    <row r="14" spans="1:17" x14ac:dyDescent="0.25">
      <c r="A14">
        <v>6000000</v>
      </c>
      <c r="B14">
        <v>9.8000000000000004E-2</v>
      </c>
      <c r="D14">
        <v>6000000</v>
      </c>
      <c r="E14">
        <v>9.9000000000000005E-2</v>
      </c>
      <c r="G14">
        <v>6000000</v>
      </c>
      <c r="H14">
        <v>0.1</v>
      </c>
      <c r="J14">
        <v>6000000</v>
      </c>
      <c r="K14">
        <v>0.10100000000000001</v>
      </c>
      <c r="M14">
        <v>6000000</v>
      </c>
      <c r="N14">
        <v>0.124</v>
      </c>
      <c r="P14">
        <v>6000000</v>
      </c>
      <c r="Q14">
        <f t="shared" si="0"/>
        <v>0.10440000000000001</v>
      </c>
    </row>
    <row r="15" spans="1:17" x14ac:dyDescent="0.25">
      <c r="A15">
        <v>6500000</v>
      </c>
      <c r="B15">
        <v>0.10100000000000001</v>
      </c>
      <c r="D15">
        <v>6500000</v>
      </c>
      <c r="E15">
        <v>0.10100000000000001</v>
      </c>
      <c r="G15">
        <v>6500000</v>
      </c>
      <c r="H15">
        <v>9.9000000000000005E-2</v>
      </c>
      <c r="J15">
        <v>6500000</v>
      </c>
      <c r="K15">
        <v>9.9000000000000005E-2</v>
      </c>
      <c r="M15">
        <v>6500000</v>
      </c>
      <c r="N15">
        <v>0.107</v>
      </c>
      <c r="P15">
        <v>6500000</v>
      </c>
      <c r="Q15">
        <f t="shared" si="0"/>
        <v>0.1014</v>
      </c>
    </row>
    <row r="16" spans="1:17" x14ac:dyDescent="0.25">
      <c r="A16">
        <v>7000000</v>
      </c>
      <c r="B16">
        <v>0.1</v>
      </c>
      <c r="D16">
        <v>7000000</v>
      </c>
      <c r="E16">
        <v>9.9000000000000005E-2</v>
      </c>
      <c r="G16">
        <v>7000000</v>
      </c>
      <c r="H16">
        <v>9.9000000000000005E-2</v>
      </c>
      <c r="J16">
        <v>7000000</v>
      </c>
      <c r="K16">
        <v>0.10100000000000001</v>
      </c>
      <c r="M16">
        <v>7000000</v>
      </c>
      <c r="N16">
        <v>0.10199999999999999</v>
      </c>
      <c r="P16">
        <v>7000000</v>
      </c>
      <c r="Q16">
        <f t="shared" si="0"/>
        <v>0.1002</v>
      </c>
    </row>
    <row r="17" spans="1:17" x14ac:dyDescent="0.25">
      <c r="A17">
        <v>7500000</v>
      </c>
      <c r="B17">
        <v>9.7000000000000003E-2</v>
      </c>
      <c r="D17">
        <v>7500000</v>
      </c>
      <c r="E17">
        <v>0.10199999999999999</v>
      </c>
      <c r="G17">
        <v>7500000</v>
      </c>
      <c r="H17">
        <v>0.1</v>
      </c>
      <c r="J17">
        <v>7500000</v>
      </c>
      <c r="K17">
        <v>0.10100000000000001</v>
      </c>
      <c r="M17">
        <v>7500000</v>
      </c>
      <c r="N17">
        <v>0.1</v>
      </c>
      <c r="P17">
        <v>7500000</v>
      </c>
      <c r="Q17">
        <f t="shared" si="0"/>
        <v>0.1</v>
      </c>
    </row>
    <row r="18" spans="1:17" x14ac:dyDescent="0.25">
      <c r="A18">
        <v>8000000</v>
      </c>
      <c r="B18">
        <v>9.7000000000000003E-2</v>
      </c>
      <c r="D18">
        <v>8000000</v>
      </c>
      <c r="E18">
        <v>9.9000000000000005E-2</v>
      </c>
      <c r="G18">
        <v>8000000</v>
      </c>
      <c r="H18">
        <v>0.10199999999999999</v>
      </c>
      <c r="J18">
        <v>8000000</v>
      </c>
      <c r="K18">
        <v>0.106</v>
      </c>
      <c r="M18">
        <v>8000000</v>
      </c>
      <c r="N18">
        <v>0.10199999999999999</v>
      </c>
      <c r="P18">
        <v>8000000</v>
      </c>
      <c r="Q18">
        <f t="shared" si="0"/>
        <v>0.1012</v>
      </c>
    </row>
    <row r="19" spans="1:17" x14ac:dyDescent="0.25">
      <c r="A19">
        <v>8500000</v>
      </c>
      <c r="B19">
        <v>0.1</v>
      </c>
      <c r="D19">
        <v>8500000</v>
      </c>
      <c r="E19">
        <v>0.10299999999999999</v>
      </c>
      <c r="G19">
        <v>8500000</v>
      </c>
      <c r="H19">
        <v>9.9000000000000005E-2</v>
      </c>
      <c r="J19">
        <v>8500000</v>
      </c>
      <c r="K19">
        <v>0.1</v>
      </c>
      <c r="M19">
        <v>8500000</v>
      </c>
      <c r="N19">
        <v>9.9000000000000005E-2</v>
      </c>
      <c r="P19">
        <v>8500000</v>
      </c>
      <c r="Q19">
        <f t="shared" si="0"/>
        <v>0.1002</v>
      </c>
    </row>
    <row r="20" spans="1:17" x14ac:dyDescent="0.25">
      <c r="A20">
        <v>9000000</v>
      </c>
      <c r="B20">
        <v>9.9000000000000005E-2</v>
      </c>
      <c r="D20">
        <v>9000000</v>
      </c>
      <c r="E20">
        <v>0.10199999999999999</v>
      </c>
      <c r="G20">
        <v>9000000</v>
      </c>
      <c r="H20">
        <v>0.10199999999999999</v>
      </c>
      <c r="J20">
        <v>9000000</v>
      </c>
      <c r="K20">
        <v>0.1</v>
      </c>
      <c r="M20">
        <v>9000000</v>
      </c>
      <c r="N20">
        <v>9.9000000000000005E-2</v>
      </c>
      <c r="P20">
        <v>9000000</v>
      </c>
      <c r="Q20">
        <f t="shared" si="0"/>
        <v>0.1004</v>
      </c>
    </row>
    <row r="21" spans="1:17" x14ac:dyDescent="0.25">
      <c r="A21">
        <v>9500000</v>
      </c>
      <c r="B21">
        <v>0.1</v>
      </c>
      <c r="D21">
        <v>9500000</v>
      </c>
      <c r="E21">
        <v>0.10299999999999999</v>
      </c>
      <c r="G21">
        <v>9500000</v>
      </c>
      <c r="H21">
        <v>0.1</v>
      </c>
      <c r="J21">
        <v>9500000</v>
      </c>
      <c r="K21">
        <v>0.1</v>
      </c>
      <c r="M21">
        <v>9500000</v>
      </c>
      <c r="N21">
        <v>9.8000000000000004E-2</v>
      </c>
      <c r="P21">
        <v>9500000</v>
      </c>
      <c r="Q21">
        <f t="shared" si="0"/>
        <v>0.1002</v>
      </c>
    </row>
    <row r="22" spans="1:17" x14ac:dyDescent="0.25">
      <c r="A22">
        <v>10000000</v>
      </c>
      <c r="B22">
        <v>9.9000000000000005E-2</v>
      </c>
      <c r="D22">
        <v>10000000</v>
      </c>
      <c r="E22">
        <v>0.10100000000000001</v>
      </c>
      <c r="G22">
        <v>10000000</v>
      </c>
      <c r="H22">
        <v>9.9000000000000005E-2</v>
      </c>
      <c r="J22">
        <v>10000000</v>
      </c>
      <c r="K22">
        <v>0.10100000000000001</v>
      </c>
      <c r="M22">
        <v>10000000</v>
      </c>
      <c r="N22">
        <v>0.1</v>
      </c>
      <c r="P22">
        <v>10000000</v>
      </c>
      <c r="Q22">
        <f t="shared" si="0"/>
        <v>0.1</v>
      </c>
    </row>
  </sheetData>
  <mergeCells count="6">
    <mergeCell ref="M1:N1"/>
    <mergeCell ref="P1:Q1"/>
    <mergeCell ref="A1:B1"/>
    <mergeCell ref="D1:E1"/>
    <mergeCell ref="G1:H1"/>
    <mergeCell ref="J1:K1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51E69F-689E-4D5A-905A-1EF8AA4FD1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Cut Rod</vt:lpstr>
      <vt:lpstr>Naive Cut Rod</vt:lpstr>
      <vt:lpstr>LCS</vt:lpstr>
      <vt:lpstr>Activity Selector Modded</vt:lpstr>
      <vt:lpstr>Huffmann</vt:lpstr>
      <vt:lpstr>Ternary Huffmann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Lagoda</dc:creator>
  <cp:lastModifiedBy>Emilia Lagoda</cp:lastModifiedBy>
  <dcterms:created xsi:type="dcterms:W3CDTF">2026-01-12T13:17:42Z</dcterms:created>
  <dcterms:modified xsi:type="dcterms:W3CDTF">2026-01-18T19:56:12Z</dcterms:modified>
</cp:coreProperties>
</file>