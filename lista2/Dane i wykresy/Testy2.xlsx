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ma\Desktop\AiSD2025\lista2\Dane i wykresy\"/>
    </mc:Choice>
  </mc:AlternateContent>
  <xr:revisionPtr revIDLastSave="0" documentId="13_ncr:1_{9EDB2D83-FC08-4E50-A429-EC64369793F0}" xr6:coauthVersionLast="47" xr6:coauthVersionMax="47" xr10:uidLastSave="{00000000-0000-0000-0000-000000000000}"/>
  <bookViews>
    <workbookView xWindow="-120" yWindow="-120" windowWidth="29040" windowHeight="15720" activeTab="5" xr2:uid="{0C252245-7420-4912-9FEE-CB5D14B80D86}"/>
  </bookViews>
  <sheets>
    <sheet name="quick sort" sheetId="5" r:id="rId1"/>
    <sheet name="modded quick sort" sheetId="2" r:id="rId2"/>
    <sheet name="radix sort" sheetId="9" r:id="rId3"/>
    <sheet name="modded radix sort" sheetId="8" r:id="rId4"/>
    <sheet name="bucket sort" sheetId="1" r:id="rId5"/>
    <sheet name="modded bucket sor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99" i="8" l="1"/>
  <c r="AC100" i="8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C99" i="9"/>
  <c r="AC100" i="9"/>
  <c r="AC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A99" i="9"/>
  <c r="AA100" i="9"/>
  <c r="AA101" i="9"/>
  <c r="AA102" i="9"/>
  <c r="AA103" i="9"/>
  <c r="AA104" i="9"/>
  <c r="AA105" i="9"/>
  <c r="AA106" i="9"/>
  <c r="AA107" i="9"/>
  <c r="AA108" i="9"/>
  <c r="AA109" i="9"/>
  <c r="AA110" i="9"/>
  <c r="AA111" i="9"/>
  <c r="AA112" i="9"/>
  <c r="AA113" i="9"/>
  <c r="AA114" i="9"/>
  <c r="AA115" i="9"/>
  <c r="AA116" i="9"/>
  <c r="AA117" i="9"/>
  <c r="AA118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C3" i="9"/>
  <c r="AC4" i="9"/>
  <c r="AC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B3" i="9"/>
  <c r="AB4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</calcChain>
</file>

<file path=xl/sharedStrings.xml><?xml version="1.0" encoding="utf-8"?>
<sst xmlns="http://schemas.openxmlformats.org/spreadsheetml/2006/main" count="440" uniqueCount="44">
  <si>
    <t>Array length n</t>
  </si>
  <si>
    <t>Time</t>
  </si>
  <si>
    <t>Assignments</t>
  </si>
  <si>
    <t>Comparisons</t>
  </si>
  <si>
    <t>5000000 3344    213833552       410266309</t>
  </si>
  <si>
    <t>10000000        7522    447670718       860545366</t>
  </si>
  <si>
    <t>15000000        11979   688956676       1326088603</t>
  </si>
  <si>
    <t>20000000        16210   935345448       1801125995</t>
  </si>
  <si>
    <t>25000000        13945   1185785912      2284609557</t>
  </si>
  <si>
    <t>30000000        16143   1437909152      2772159233</t>
  </si>
  <si>
    <t>35000000        19415   1692219700      3265674225</t>
  </si>
  <si>
    <t>40000000        25572   1950683596      3762223897</t>
  </si>
  <si>
    <t>45000000        26430   2210605596      4263061763</t>
  </si>
  <si>
    <t>50000000        29826   2471582430      4769201334</t>
  </si>
  <si>
    <t>55000000        33340   2733364780      5274661763</t>
  </si>
  <si>
    <t>60000000        41646   2995850250      5784426214</t>
  </si>
  <si>
    <t>65000000        41083   3258822126      6297668854</t>
  </si>
  <si>
    <t>70000000        71574   3524419910      6811312230</t>
  </si>
  <si>
    <t>75000000        78416   3792455814      7326796628</t>
  </si>
  <si>
    <t>80000000        83460   4061364994      7844397044</t>
  </si>
  <si>
    <t>85000000        90855   4330991892      8365321135</t>
  </si>
  <si>
    <t>90000000        83626   4601191230      8886094680</t>
  </si>
  <si>
    <t>95000000        73001   4871931250      9410244760</t>
  </si>
  <si>
    <t>100000000       70709   5143135210      9938380284</t>
  </si>
  <si>
    <t>Długość tablicy n</t>
  </si>
  <si>
    <t>Czas (ms)</t>
  </si>
  <si>
    <t>Przypisania</t>
  </si>
  <si>
    <t>Porównania</t>
  </si>
  <si>
    <t>Test 1</t>
  </si>
  <si>
    <t>Test 2</t>
  </si>
  <si>
    <t>Test 3</t>
  </si>
  <si>
    <t>Test 4</t>
  </si>
  <si>
    <t>Test 5</t>
  </si>
  <si>
    <t>Średnia</t>
  </si>
  <si>
    <t>d = 2</t>
  </si>
  <si>
    <t>Średnia dla d = 2</t>
  </si>
  <si>
    <t>d = 4</t>
  </si>
  <si>
    <t>Średnia dla d = 4</t>
  </si>
  <si>
    <t>d = 8</t>
  </si>
  <si>
    <t>Średnia dla d = 8</t>
  </si>
  <si>
    <t>d = 10</t>
  </si>
  <si>
    <t>Średnia dla d = 10</t>
  </si>
  <si>
    <t>d = 16</t>
  </si>
  <si>
    <t>Średnia dla d =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</si>
</sst>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0"/>
      <color rgb="FFF9FAFB"/>
      <name val="Consolas"/>
      <family val="3"/>
      <charset val="238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2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165">
    <dxf>
      <numFmt numFmtId="0" formatCode="General"/>
    </dxf>
    <dxf>
      <numFmt numFmtId="0" formatCode="General"/>
    </dxf>
    <dxf>
      <numFmt numFmtId="0" formatCode="General"/>
    </dxf>
    <dxf>
      <font>
        <b val="0"/>
      </font>
    </dxf>
    <dxf>
      <font>
        <b val="0"/>
      </font>
    </dxf>
    <dxf>
      <numFmt numFmtId="0" formatCode="General"/>
    </dxf>
    <dxf>
      <numFmt numFmtId="0" formatCode="General"/>
    </dxf>
    <dxf>
      <numFmt numFmtId="0" formatCode="General"/>
    </dxf>
    <dxf>
      <font>
        <b val="0"/>
      </font>
    </dxf>
    <dxf>
      <numFmt numFmtId="0" formatCode="General"/>
    </dxf>
    <dxf>
      <numFmt numFmtId="0" formatCode="General"/>
    </dxf>
    <dxf>
      <numFmt numFmtId="0" formatCode="General"/>
    </dxf>
    <dxf>
      <font>
        <b val="0"/>
      </font>
    </dxf>
    <dxf>
      <font>
        <b val="0"/>
      </font>
    </dxf>
    <dxf>
      <numFmt numFmtId="0" formatCode="General"/>
    </dxf>
    <dxf>
      <numFmt numFmtId="0" formatCode="General"/>
    </dxf>
    <dxf>
      <numFmt numFmtId="0" formatCode="General"/>
    </dxf>
    <dxf>
      <font>
        <b val="0"/>
      </font>
    </dxf>
    <dxf>
      <font>
        <b val="0"/>
      </font>
    </dxf>
    <dxf>
      <numFmt numFmtId="0" formatCode="General"/>
    </dxf>
    <dxf>
      <numFmt numFmtId="0" formatCode="General"/>
    </dxf>
    <dxf>
      <numFmt numFmtId="0" formatCode="General"/>
    </dxf>
    <dxf>
      <font>
        <b val="0"/>
      </font>
    </dxf>
    <dxf>
      <font>
        <b val="0"/>
      </font>
    </dxf>
    <dxf>
      <numFmt numFmtId="0" formatCode="General"/>
    </dxf>
    <dxf>
      <numFmt numFmtId="0" formatCode="General"/>
    </dxf>
    <dxf>
      <numFmt numFmtId="0" formatCode="General"/>
    </dxf>
    <dxf>
      <font>
        <b val="0"/>
      </font>
    </dxf>
    <dxf>
      <font>
        <b val="0"/>
      </font>
    </dxf>
    <dxf>
      <numFmt numFmtId="0" formatCode="General"/>
    </dxf>
    <dxf>
      <numFmt numFmtId="0" formatCode="General"/>
    </dxf>
    <dxf>
      <numFmt numFmtId="0" formatCode="General"/>
    </dxf>
    <dxf>
      <font>
        <b val="0"/>
      </font>
    </dxf>
    <dxf>
      <font>
        <b val="0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font>
        <b val="0"/>
      </font>
    </dxf>
    <dxf>
      <font>
        <b val="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czasu od długości tablicy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czasu od długości tablicy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'quick sort'!$Z$3:$Z$22</c:f>
              <c:numCache>
                <c:formatCode>General</c:formatCode>
                <c:ptCount val="2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  <c:pt idx="10">
                  <c:v>55000000</c:v>
                </c:pt>
                <c:pt idx="11">
                  <c:v>60000000</c:v>
                </c:pt>
                <c:pt idx="12">
                  <c:v>65000000</c:v>
                </c:pt>
                <c:pt idx="13">
                  <c:v>70000000</c:v>
                </c:pt>
                <c:pt idx="14">
                  <c:v>75000000</c:v>
                </c:pt>
                <c:pt idx="15">
                  <c:v>80000000</c:v>
                </c:pt>
                <c:pt idx="16">
                  <c:v>85000000</c:v>
                </c:pt>
                <c:pt idx="17">
                  <c:v>90000000</c:v>
                </c:pt>
                <c:pt idx="18">
                  <c:v>95000000</c:v>
                </c:pt>
                <c:pt idx="19">
                  <c:v>100000000</c:v>
                </c:pt>
              </c:numCache>
            </c:numRef>
          </c:xVal>
          <c:yVal>
            <c:numRef>
              <c:f>'quick sort'!$AA$3:$AA$22</c:f>
              <c:numCache>
                <c:formatCode>General</c:formatCode>
                <c:ptCount val="20"/>
                <c:pt idx="0">
                  <c:v>1332</c:v>
                </c:pt>
                <c:pt idx="1">
                  <c:v>2837.4</c:v>
                </c:pt>
                <c:pt idx="2">
                  <c:v>4571.6000000000004</c:v>
                </c:pt>
                <c:pt idx="3">
                  <c:v>6488</c:v>
                </c:pt>
                <c:pt idx="4">
                  <c:v>9375.7999999999993</c:v>
                </c:pt>
                <c:pt idx="5">
                  <c:v>12023.6</c:v>
                </c:pt>
                <c:pt idx="6">
                  <c:v>14569.2</c:v>
                </c:pt>
                <c:pt idx="7">
                  <c:v>16373.2</c:v>
                </c:pt>
                <c:pt idx="8">
                  <c:v>18655.599999999999</c:v>
                </c:pt>
                <c:pt idx="9">
                  <c:v>22105</c:v>
                </c:pt>
                <c:pt idx="10">
                  <c:v>25119.599999999999</c:v>
                </c:pt>
                <c:pt idx="11">
                  <c:v>28325.4</c:v>
                </c:pt>
                <c:pt idx="12">
                  <c:v>32666.6</c:v>
                </c:pt>
                <c:pt idx="13">
                  <c:v>36529.199999999997</c:v>
                </c:pt>
                <c:pt idx="14">
                  <c:v>38341</c:v>
                </c:pt>
                <c:pt idx="15">
                  <c:v>42049.8</c:v>
                </c:pt>
                <c:pt idx="16">
                  <c:v>50832.6</c:v>
                </c:pt>
                <c:pt idx="17">
                  <c:v>59365.599999999999</c:v>
                </c:pt>
                <c:pt idx="18">
                  <c:v>62449.8</c:v>
                </c:pt>
                <c:pt idx="19">
                  <c:v>65318.6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CC-45AF-B08F-55F7A2162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  <c:max val="1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aseline="0"/>
                  <a:t>Długość tablicy n</a:t>
                </a:r>
                <a:r>
                  <a:rPr lang="pl-PL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Czas</a:t>
                </a:r>
                <a:r>
                  <a:rPr lang="pl-PL" baseline="0"/>
                  <a:t> (ms)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Zależność przypisań od długości tablicy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przypisań od długości tablicy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'quick sort'!$Z$3:$Z$22</c:f>
              <c:numCache>
                <c:formatCode>General</c:formatCode>
                <c:ptCount val="2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  <c:pt idx="10">
                  <c:v>55000000</c:v>
                </c:pt>
                <c:pt idx="11">
                  <c:v>60000000</c:v>
                </c:pt>
                <c:pt idx="12">
                  <c:v>65000000</c:v>
                </c:pt>
                <c:pt idx="13">
                  <c:v>70000000</c:v>
                </c:pt>
                <c:pt idx="14">
                  <c:v>75000000</c:v>
                </c:pt>
                <c:pt idx="15">
                  <c:v>80000000</c:v>
                </c:pt>
                <c:pt idx="16">
                  <c:v>85000000</c:v>
                </c:pt>
                <c:pt idx="17">
                  <c:v>90000000</c:v>
                </c:pt>
                <c:pt idx="18">
                  <c:v>95000000</c:v>
                </c:pt>
                <c:pt idx="19">
                  <c:v>100000000</c:v>
                </c:pt>
              </c:numCache>
            </c:numRef>
          </c:xVal>
          <c:yVal>
            <c:numRef>
              <c:f>'quick sort'!$AB$3:$AB$22</c:f>
              <c:numCache>
                <c:formatCode>General</c:formatCode>
                <c:ptCount val="20"/>
                <c:pt idx="0">
                  <c:v>163535930.80000001</c:v>
                </c:pt>
                <c:pt idx="1">
                  <c:v>392004728.39999998</c:v>
                </c:pt>
                <c:pt idx="2">
                  <c:v>648929098.79999995</c:v>
                </c:pt>
                <c:pt idx="3">
                  <c:v>978837110.39999998</c:v>
                </c:pt>
                <c:pt idx="4">
                  <c:v>1347901759.5999999</c:v>
                </c:pt>
                <c:pt idx="5">
                  <c:v>1775085767.5999999</c:v>
                </c:pt>
                <c:pt idx="6">
                  <c:v>2204949796</c:v>
                </c:pt>
                <c:pt idx="7">
                  <c:v>2790602263.5999999</c:v>
                </c:pt>
                <c:pt idx="8">
                  <c:v>3277330776.8000002</c:v>
                </c:pt>
                <c:pt idx="9">
                  <c:v>3966179801.1999998</c:v>
                </c:pt>
                <c:pt idx="10">
                  <c:v>4613264172</c:v>
                </c:pt>
                <c:pt idx="11">
                  <c:v>5303936055.6000004</c:v>
                </c:pt>
                <c:pt idx="12">
                  <c:v>6038938446</c:v>
                </c:pt>
                <c:pt idx="13">
                  <c:v>6895958418.8000002</c:v>
                </c:pt>
                <c:pt idx="14">
                  <c:v>7793969167.6000004</c:v>
                </c:pt>
                <c:pt idx="15">
                  <c:v>8645986908.3999996</c:v>
                </c:pt>
                <c:pt idx="16">
                  <c:v>9627044240.7999992</c:v>
                </c:pt>
                <c:pt idx="17">
                  <c:v>10664162557.6</c:v>
                </c:pt>
                <c:pt idx="18">
                  <c:v>11701710199.6</c:v>
                </c:pt>
                <c:pt idx="19">
                  <c:v>12991440146.4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B-459B-85F1-AE4ADF0DC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  <c:max val="1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Długość tablicy 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  <c:max val="14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przypisań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Zależność porównań od długości tablicy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porównań od długości tablicy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190616213777603"/>
                  <c:y val="0.161574951732813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'quick sort'!$Z$3:$Z$22</c:f>
              <c:numCache>
                <c:formatCode>General</c:formatCode>
                <c:ptCount val="2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  <c:pt idx="10">
                  <c:v>55000000</c:v>
                </c:pt>
                <c:pt idx="11">
                  <c:v>60000000</c:v>
                </c:pt>
                <c:pt idx="12">
                  <c:v>65000000</c:v>
                </c:pt>
                <c:pt idx="13">
                  <c:v>70000000</c:v>
                </c:pt>
                <c:pt idx="14">
                  <c:v>75000000</c:v>
                </c:pt>
                <c:pt idx="15">
                  <c:v>80000000</c:v>
                </c:pt>
                <c:pt idx="16">
                  <c:v>85000000</c:v>
                </c:pt>
                <c:pt idx="17">
                  <c:v>90000000</c:v>
                </c:pt>
                <c:pt idx="18">
                  <c:v>95000000</c:v>
                </c:pt>
                <c:pt idx="19">
                  <c:v>100000000</c:v>
                </c:pt>
              </c:numCache>
            </c:numRef>
          </c:xVal>
          <c:yVal>
            <c:numRef>
              <c:f>'quick sort'!$AC$3:$AC$22</c:f>
              <c:numCache>
                <c:formatCode>General</c:formatCode>
                <c:ptCount val="20"/>
                <c:pt idx="0">
                  <c:v>4054642.4</c:v>
                </c:pt>
                <c:pt idx="1">
                  <c:v>9000818.5999999996</c:v>
                </c:pt>
                <c:pt idx="2">
                  <c:v>14000008.199999999</c:v>
                </c:pt>
                <c:pt idx="3">
                  <c:v>19000001.199999999</c:v>
                </c:pt>
                <c:pt idx="4">
                  <c:v>24000001</c:v>
                </c:pt>
                <c:pt idx="5">
                  <c:v>29000001</c:v>
                </c:pt>
                <c:pt idx="6">
                  <c:v>34000001</c:v>
                </c:pt>
                <c:pt idx="7">
                  <c:v>39000001</c:v>
                </c:pt>
                <c:pt idx="8">
                  <c:v>44000001</c:v>
                </c:pt>
                <c:pt idx="9">
                  <c:v>49000001</c:v>
                </c:pt>
                <c:pt idx="10">
                  <c:v>54000001</c:v>
                </c:pt>
                <c:pt idx="11">
                  <c:v>59000001</c:v>
                </c:pt>
                <c:pt idx="12">
                  <c:v>64000001</c:v>
                </c:pt>
                <c:pt idx="13">
                  <c:v>69000001</c:v>
                </c:pt>
                <c:pt idx="14">
                  <c:v>74000001</c:v>
                </c:pt>
                <c:pt idx="15">
                  <c:v>79000001</c:v>
                </c:pt>
                <c:pt idx="16">
                  <c:v>84000001</c:v>
                </c:pt>
                <c:pt idx="17">
                  <c:v>89000001</c:v>
                </c:pt>
                <c:pt idx="18">
                  <c:v>94000001</c:v>
                </c:pt>
                <c:pt idx="19">
                  <c:v>99000001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CF-48B0-92BB-E92B7A7D4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  <c:max val="1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Długość tablicy 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czasu od długości tablicy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czasu od długości tablicy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0.11859636760836584"/>
                  <c:y val="0.169572437161744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'modded quick sort'!$Z$3:$Z$22</c:f>
              <c:numCache>
                <c:formatCode>General</c:formatCode>
                <c:ptCount val="2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  <c:pt idx="10">
                  <c:v>55000000</c:v>
                </c:pt>
                <c:pt idx="11">
                  <c:v>60000000</c:v>
                </c:pt>
                <c:pt idx="12">
                  <c:v>65000000</c:v>
                </c:pt>
                <c:pt idx="13">
                  <c:v>70000000</c:v>
                </c:pt>
                <c:pt idx="14">
                  <c:v>75000000</c:v>
                </c:pt>
                <c:pt idx="15">
                  <c:v>80000000</c:v>
                </c:pt>
                <c:pt idx="16">
                  <c:v>85000000</c:v>
                </c:pt>
                <c:pt idx="17">
                  <c:v>90000000</c:v>
                </c:pt>
                <c:pt idx="18">
                  <c:v>95000000</c:v>
                </c:pt>
                <c:pt idx="19">
                  <c:v>100000000</c:v>
                </c:pt>
              </c:numCache>
            </c:numRef>
          </c:xVal>
          <c:yVal>
            <c:numRef>
              <c:f>'modded quick sort'!$AA$3:$AA$22</c:f>
              <c:numCache>
                <c:formatCode>General</c:formatCode>
                <c:ptCount val="20"/>
                <c:pt idx="0">
                  <c:v>1180.8</c:v>
                </c:pt>
                <c:pt idx="1">
                  <c:v>2311.4</c:v>
                </c:pt>
                <c:pt idx="2">
                  <c:v>3661.6</c:v>
                </c:pt>
                <c:pt idx="3">
                  <c:v>5248.6</c:v>
                </c:pt>
                <c:pt idx="4">
                  <c:v>6614.6</c:v>
                </c:pt>
                <c:pt idx="5">
                  <c:v>7955.4</c:v>
                </c:pt>
                <c:pt idx="6">
                  <c:v>9070.4</c:v>
                </c:pt>
                <c:pt idx="7">
                  <c:v>10434</c:v>
                </c:pt>
                <c:pt idx="8">
                  <c:v>11612.6</c:v>
                </c:pt>
                <c:pt idx="9">
                  <c:v>12203</c:v>
                </c:pt>
                <c:pt idx="10">
                  <c:v>14241.2</c:v>
                </c:pt>
                <c:pt idx="11">
                  <c:v>13075</c:v>
                </c:pt>
                <c:pt idx="12">
                  <c:v>12674.2</c:v>
                </c:pt>
                <c:pt idx="13">
                  <c:v>13681.8</c:v>
                </c:pt>
                <c:pt idx="14">
                  <c:v>14727</c:v>
                </c:pt>
                <c:pt idx="15">
                  <c:v>15806</c:v>
                </c:pt>
                <c:pt idx="16">
                  <c:v>16601.8</c:v>
                </c:pt>
                <c:pt idx="17">
                  <c:v>17816.8</c:v>
                </c:pt>
                <c:pt idx="18">
                  <c:v>19710</c:v>
                </c:pt>
                <c:pt idx="19">
                  <c:v>23353.4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02-46AD-9C44-E221E5F93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aseline="0"/>
                  <a:t>Długość tablicy n</a:t>
                </a:r>
                <a:r>
                  <a:rPr lang="pl-PL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Czas</a:t>
                </a:r>
                <a:r>
                  <a:rPr lang="pl-PL" baseline="0"/>
                  <a:t> (ms)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Zależność przypisań od długości tablicy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przypisań od długości tablicy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0.13144865923863469"/>
                  <c:y val="0.133965289361635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'modded quick sort'!$Z$3:$Z$22</c:f>
              <c:numCache>
                <c:formatCode>General</c:formatCode>
                <c:ptCount val="2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  <c:pt idx="10">
                  <c:v>55000000</c:v>
                </c:pt>
                <c:pt idx="11">
                  <c:v>60000000</c:v>
                </c:pt>
                <c:pt idx="12">
                  <c:v>65000000</c:v>
                </c:pt>
                <c:pt idx="13">
                  <c:v>70000000</c:v>
                </c:pt>
                <c:pt idx="14">
                  <c:v>75000000</c:v>
                </c:pt>
                <c:pt idx="15">
                  <c:v>80000000</c:v>
                </c:pt>
                <c:pt idx="16">
                  <c:v>85000000</c:v>
                </c:pt>
                <c:pt idx="17">
                  <c:v>90000000</c:v>
                </c:pt>
                <c:pt idx="18">
                  <c:v>95000000</c:v>
                </c:pt>
                <c:pt idx="19">
                  <c:v>100000000</c:v>
                </c:pt>
              </c:numCache>
            </c:numRef>
          </c:xVal>
          <c:yVal>
            <c:numRef>
              <c:f>'modded quick sort'!$AB$3:$AB$22</c:f>
              <c:numCache>
                <c:formatCode>General</c:formatCode>
                <c:ptCount val="20"/>
                <c:pt idx="0">
                  <c:v>254120113.19999999</c:v>
                </c:pt>
                <c:pt idx="1">
                  <c:v>510152811.60000002</c:v>
                </c:pt>
                <c:pt idx="2">
                  <c:v>766803629.20000005</c:v>
                </c:pt>
                <c:pt idx="3">
                  <c:v>1011682699.6</c:v>
                </c:pt>
                <c:pt idx="4">
                  <c:v>1280276994.8</c:v>
                </c:pt>
                <c:pt idx="5">
                  <c:v>1545476985.5999999</c:v>
                </c:pt>
                <c:pt idx="6">
                  <c:v>1786122007.5999999</c:v>
                </c:pt>
                <c:pt idx="7">
                  <c:v>2046385514.8</c:v>
                </c:pt>
                <c:pt idx="8">
                  <c:v>2335924399.1999998</c:v>
                </c:pt>
                <c:pt idx="9">
                  <c:v>2592760655.5999999</c:v>
                </c:pt>
                <c:pt idx="10">
                  <c:v>2812997334</c:v>
                </c:pt>
                <c:pt idx="11">
                  <c:v>3123098723.1999998</c:v>
                </c:pt>
                <c:pt idx="12">
                  <c:v>3360064101.5999999</c:v>
                </c:pt>
                <c:pt idx="13">
                  <c:v>3628006209.5999999</c:v>
                </c:pt>
                <c:pt idx="14">
                  <c:v>3847922817.1999998</c:v>
                </c:pt>
                <c:pt idx="15">
                  <c:v>4140235070.4000001</c:v>
                </c:pt>
                <c:pt idx="16">
                  <c:v>4369515992.3999996</c:v>
                </c:pt>
                <c:pt idx="17">
                  <c:v>4689898774.8000002</c:v>
                </c:pt>
                <c:pt idx="18">
                  <c:v>4936189066</c:v>
                </c:pt>
                <c:pt idx="19">
                  <c:v>5143241818.8000002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7C-4987-A9B2-505403750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Długość tablicy 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przypisań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Zależność porównań od długości tablicy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porównań od długości tablicy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0.11190616213777603"/>
                  <c:y val="0.161574951732813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'modded quick sort'!$Z$3:$Z$22</c:f>
              <c:numCache>
                <c:formatCode>General</c:formatCode>
                <c:ptCount val="2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  <c:pt idx="10">
                  <c:v>55000000</c:v>
                </c:pt>
                <c:pt idx="11">
                  <c:v>60000000</c:v>
                </c:pt>
                <c:pt idx="12">
                  <c:v>65000000</c:v>
                </c:pt>
                <c:pt idx="13">
                  <c:v>70000000</c:v>
                </c:pt>
                <c:pt idx="14">
                  <c:v>75000000</c:v>
                </c:pt>
                <c:pt idx="15">
                  <c:v>80000000</c:v>
                </c:pt>
                <c:pt idx="16">
                  <c:v>85000000</c:v>
                </c:pt>
                <c:pt idx="17">
                  <c:v>90000000</c:v>
                </c:pt>
                <c:pt idx="18">
                  <c:v>95000000</c:v>
                </c:pt>
                <c:pt idx="19">
                  <c:v>100000000</c:v>
                </c:pt>
              </c:numCache>
            </c:numRef>
          </c:xVal>
          <c:yVal>
            <c:numRef>
              <c:f>'modded quick sort'!$AC$3:$AC$22</c:f>
              <c:numCache>
                <c:formatCode>General</c:formatCode>
                <c:ptCount val="20"/>
                <c:pt idx="0">
                  <c:v>133005372.40000001</c:v>
                </c:pt>
                <c:pt idx="1">
                  <c:v>266075605.40000001</c:v>
                </c:pt>
                <c:pt idx="2">
                  <c:v>399401809</c:v>
                </c:pt>
                <c:pt idx="3">
                  <c:v>526841351.80000001</c:v>
                </c:pt>
                <c:pt idx="4">
                  <c:v>666138499.39999998</c:v>
                </c:pt>
                <c:pt idx="5">
                  <c:v>803738494.79999995</c:v>
                </c:pt>
                <c:pt idx="6">
                  <c:v>929061005.79999995</c:v>
                </c:pt>
                <c:pt idx="7">
                  <c:v>1064192759.4</c:v>
                </c:pt>
                <c:pt idx="8">
                  <c:v>1213962201.5999999</c:v>
                </c:pt>
                <c:pt idx="9">
                  <c:v>1347380329.8</c:v>
                </c:pt>
                <c:pt idx="10">
                  <c:v>1462498669</c:v>
                </c:pt>
                <c:pt idx="11">
                  <c:v>1622549363.5999999</c:v>
                </c:pt>
                <c:pt idx="12">
                  <c:v>1746032052.8</c:v>
                </c:pt>
                <c:pt idx="13">
                  <c:v>1885003106.8</c:v>
                </c:pt>
                <c:pt idx="14">
                  <c:v>1999961410.5999999</c:v>
                </c:pt>
                <c:pt idx="15">
                  <c:v>2151117537.1999998</c:v>
                </c:pt>
                <c:pt idx="16">
                  <c:v>2270757998.1999998</c:v>
                </c:pt>
                <c:pt idx="17">
                  <c:v>2435949389.4000001</c:v>
                </c:pt>
                <c:pt idx="18">
                  <c:v>2564094535</c:v>
                </c:pt>
                <c:pt idx="19">
                  <c:v>2672620911.4000001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F2-471F-992B-715D4AC36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Długość tablicy 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czasu od długości tablicy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czasu od długości tablicy dla d =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'radix sort'!$Z$3:$Z$22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'radix sort'!$AA$3:$AA$22</c:f>
              <c:numCache>
                <c:formatCode>General</c:formatCode>
                <c:ptCount val="20"/>
                <c:pt idx="0">
                  <c:v>202.4</c:v>
                </c:pt>
                <c:pt idx="1">
                  <c:v>398.4</c:v>
                </c:pt>
                <c:pt idx="2">
                  <c:v>603</c:v>
                </c:pt>
                <c:pt idx="3">
                  <c:v>790</c:v>
                </c:pt>
                <c:pt idx="4">
                  <c:v>991.8</c:v>
                </c:pt>
                <c:pt idx="5">
                  <c:v>1192</c:v>
                </c:pt>
                <c:pt idx="6">
                  <c:v>1390.8</c:v>
                </c:pt>
                <c:pt idx="7">
                  <c:v>1601</c:v>
                </c:pt>
                <c:pt idx="8">
                  <c:v>1784.8</c:v>
                </c:pt>
                <c:pt idx="9">
                  <c:v>1982.2</c:v>
                </c:pt>
                <c:pt idx="10">
                  <c:v>2175.6</c:v>
                </c:pt>
                <c:pt idx="11">
                  <c:v>2376.8000000000002</c:v>
                </c:pt>
                <c:pt idx="12">
                  <c:v>2575</c:v>
                </c:pt>
                <c:pt idx="13">
                  <c:v>2766</c:v>
                </c:pt>
                <c:pt idx="14">
                  <c:v>2950.2</c:v>
                </c:pt>
                <c:pt idx="15">
                  <c:v>3162.8</c:v>
                </c:pt>
                <c:pt idx="16">
                  <c:v>3364.6</c:v>
                </c:pt>
                <c:pt idx="17">
                  <c:v>3735.4</c:v>
                </c:pt>
                <c:pt idx="18">
                  <c:v>4301.8</c:v>
                </c:pt>
                <c:pt idx="19">
                  <c:v>4568.6000000000004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C8-412C-8B8D-60D7BC6EA0B8}"/>
            </c:ext>
          </c:extLst>
        </c:ser>
        <c:ser>
          <c:idx val="1"/>
          <c:order val="1"/>
          <c:tx>
            <c:v>Zależność czasu od długości tablicy dla d = 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'radix sort'!$Z$27:$Z$46</c:f>
              <c:numCache>
                <c:formatCode>0.00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'radix sort'!$AA$27:$AA$46</c:f>
              <c:numCache>
                <c:formatCode>0.00</c:formatCode>
                <c:ptCount val="20"/>
                <c:pt idx="0">
                  <c:v>108</c:v>
                </c:pt>
                <c:pt idx="1">
                  <c:v>214</c:v>
                </c:pt>
                <c:pt idx="2">
                  <c:v>324</c:v>
                </c:pt>
                <c:pt idx="3">
                  <c:v>429.6</c:v>
                </c:pt>
                <c:pt idx="4">
                  <c:v>541</c:v>
                </c:pt>
                <c:pt idx="5">
                  <c:v>651.4</c:v>
                </c:pt>
                <c:pt idx="6">
                  <c:v>757</c:v>
                </c:pt>
                <c:pt idx="7">
                  <c:v>862.2</c:v>
                </c:pt>
                <c:pt idx="8">
                  <c:v>977.6</c:v>
                </c:pt>
                <c:pt idx="9">
                  <c:v>1081</c:v>
                </c:pt>
                <c:pt idx="10">
                  <c:v>1186.2</c:v>
                </c:pt>
                <c:pt idx="11">
                  <c:v>1295.2</c:v>
                </c:pt>
                <c:pt idx="12">
                  <c:v>1409.8</c:v>
                </c:pt>
                <c:pt idx="13">
                  <c:v>1503.8</c:v>
                </c:pt>
                <c:pt idx="14">
                  <c:v>1620.4</c:v>
                </c:pt>
                <c:pt idx="15">
                  <c:v>1733.6</c:v>
                </c:pt>
                <c:pt idx="16">
                  <c:v>1830.8</c:v>
                </c:pt>
                <c:pt idx="17">
                  <c:v>1934.4</c:v>
                </c:pt>
                <c:pt idx="18">
                  <c:v>2057</c:v>
                </c:pt>
                <c:pt idx="19">
                  <c:v>2166.4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C8-412C-8B8D-60D7BC6EA0B8}"/>
            </c:ext>
          </c:extLst>
        </c:ser>
        <c:ser>
          <c:idx val="2"/>
          <c:order val="2"/>
          <c:tx>
            <c:v>Zależność czasu od długości tablicy dla d = 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'radix sort'!$Z$51:$Z$70</c:f>
              <c:numCache>
                <c:formatCode>0.00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'radix sort'!$AA$51:$AA$70</c:f>
              <c:numCache>
                <c:formatCode>0.00</c:formatCode>
                <c:ptCount val="20"/>
                <c:pt idx="0">
                  <c:v>72.599999999999994</c:v>
                </c:pt>
                <c:pt idx="1">
                  <c:v>143.80000000000001</c:v>
                </c:pt>
                <c:pt idx="2">
                  <c:v>213.4</c:v>
                </c:pt>
                <c:pt idx="3">
                  <c:v>286</c:v>
                </c:pt>
                <c:pt idx="4">
                  <c:v>359</c:v>
                </c:pt>
                <c:pt idx="5">
                  <c:v>432.2</c:v>
                </c:pt>
                <c:pt idx="6">
                  <c:v>502.4</c:v>
                </c:pt>
                <c:pt idx="7">
                  <c:v>578.6</c:v>
                </c:pt>
                <c:pt idx="8">
                  <c:v>650.6</c:v>
                </c:pt>
                <c:pt idx="9">
                  <c:v>720.4</c:v>
                </c:pt>
                <c:pt idx="10">
                  <c:v>789.2</c:v>
                </c:pt>
                <c:pt idx="11">
                  <c:v>860.8</c:v>
                </c:pt>
                <c:pt idx="12">
                  <c:v>929.6</c:v>
                </c:pt>
                <c:pt idx="13">
                  <c:v>1020.2</c:v>
                </c:pt>
                <c:pt idx="14">
                  <c:v>1163</c:v>
                </c:pt>
                <c:pt idx="15">
                  <c:v>1310.2</c:v>
                </c:pt>
                <c:pt idx="16">
                  <c:v>1321.8</c:v>
                </c:pt>
                <c:pt idx="17">
                  <c:v>1293.5999999999999</c:v>
                </c:pt>
                <c:pt idx="18">
                  <c:v>1358.4</c:v>
                </c:pt>
                <c:pt idx="19">
                  <c:v>1429.2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C8-412C-8B8D-60D7BC6EA0B8}"/>
            </c:ext>
          </c:extLst>
        </c:ser>
        <c:ser>
          <c:idx val="3"/>
          <c:order val="3"/>
          <c:tx>
            <c:v>Zależność czasu od długości tablicy dla d = 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'radix sort'!$Z$75:$Z$94</c:f>
              <c:numCache>
                <c:formatCode>0.00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'radix sort'!$AA$75:$AA$94</c:f>
              <c:numCache>
                <c:formatCode>0.00</c:formatCode>
                <c:ptCount val="20"/>
                <c:pt idx="0">
                  <c:v>73</c:v>
                </c:pt>
                <c:pt idx="1">
                  <c:v>144.4</c:v>
                </c:pt>
                <c:pt idx="2">
                  <c:v>215</c:v>
                </c:pt>
                <c:pt idx="3">
                  <c:v>288.60000000000002</c:v>
                </c:pt>
                <c:pt idx="4">
                  <c:v>361.6</c:v>
                </c:pt>
                <c:pt idx="5">
                  <c:v>434.4</c:v>
                </c:pt>
                <c:pt idx="6">
                  <c:v>506.8</c:v>
                </c:pt>
                <c:pt idx="7">
                  <c:v>582</c:v>
                </c:pt>
                <c:pt idx="8">
                  <c:v>651.20000000000005</c:v>
                </c:pt>
                <c:pt idx="9">
                  <c:v>725.2</c:v>
                </c:pt>
                <c:pt idx="10">
                  <c:v>798.8</c:v>
                </c:pt>
                <c:pt idx="11">
                  <c:v>866.8</c:v>
                </c:pt>
                <c:pt idx="12">
                  <c:v>934</c:v>
                </c:pt>
                <c:pt idx="13">
                  <c:v>1012.2</c:v>
                </c:pt>
                <c:pt idx="14">
                  <c:v>1086.8</c:v>
                </c:pt>
                <c:pt idx="15">
                  <c:v>1160.8</c:v>
                </c:pt>
                <c:pt idx="16">
                  <c:v>1233</c:v>
                </c:pt>
                <c:pt idx="17">
                  <c:v>1302.8</c:v>
                </c:pt>
                <c:pt idx="18">
                  <c:v>1373.2</c:v>
                </c:pt>
                <c:pt idx="19">
                  <c:v>1444.4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C8-412C-8B8D-60D7BC6EA0B8}"/>
            </c:ext>
          </c:extLst>
        </c:ser>
        <c:ser>
          <c:idx val="4"/>
          <c:order val="4"/>
          <c:tx>
            <c:v>Zależność czasu od długości tablicy dla d = 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'radix sort'!$Z$99:$Z$118</c:f>
              <c:numCache>
                <c:formatCode>0.00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'radix sort'!$AA$99:$AA$118</c:f>
              <c:numCache>
                <c:formatCode>0.00</c:formatCode>
                <c:ptCount val="20"/>
                <c:pt idx="0">
                  <c:v>48.2</c:v>
                </c:pt>
                <c:pt idx="1">
                  <c:v>96</c:v>
                </c:pt>
                <c:pt idx="2">
                  <c:v>142.80000000000001</c:v>
                </c:pt>
                <c:pt idx="3">
                  <c:v>191</c:v>
                </c:pt>
                <c:pt idx="4">
                  <c:v>239.2</c:v>
                </c:pt>
                <c:pt idx="5">
                  <c:v>284.8</c:v>
                </c:pt>
                <c:pt idx="6">
                  <c:v>333.2</c:v>
                </c:pt>
                <c:pt idx="7">
                  <c:v>383.6</c:v>
                </c:pt>
                <c:pt idx="8">
                  <c:v>434.2</c:v>
                </c:pt>
                <c:pt idx="9">
                  <c:v>481.6</c:v>
                </c:pt>
                <c:pt idx="10">
                  <c:v>529.79999999999995</c:v>
                </c:pt>
                <c:pt idx="11">
                  <c:v>505.4</c:v>
                </c:pt>
                <c:pt idx="12">
                  <c:v>535.79999999999995</c:v>
                </c:pt>
                <c:pt idx="13">
                  <c:v>578</c:v>
                </c:pt>
                <c:pt idx="14">
                  <c:v>619.20000000000005</c:v>
                </c:pt>
                <c:pt idx="15">
                  <c:v>662.8</c:v>
                </c:pt>
                <c:pt idx="16">
                  <c:v>702</c:v>
                </c:pt>
                <c:pt idx="17">
                  <c:v>744.8</c:v>
                </c:pt>
                <c:pt idx="18">
                  <c:v>786.6</c:v>
                </c:pt>
                <c:pt idx="19">
                  <c:v>832.6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C8-412C-8B8D-60D7BC6EA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  <c:max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aseline="0"/>
                  <a:t>Długość tablicy n</a:t>
                </a:r>
                <a:r>
                  <a:rPr lang="pl-PL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Czas</a:t>
                </a:r>
                <a:r>
                  <a:rPr lang="pl-PL" baseline="0"/>
                  <a:t> (ms)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Zależność przypisań od długości tablicy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przypisań od długości tablicy dla d =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'radix sort'!$Z$3:$Z$22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'radix sort'!$AB$3:$AB$22</c:f>
              <c:numCache>
                <c:formatCode>General</c:formatCode>
                <c:ptCount val="20"/>
                <c:pt idx="0">
                  <c:v>36998008099</c:v>
                </c:pt>
                <c:pt idx="1">
                  <c:v>37074008118</c:v>
                </c:pt>
                <c:pt idx="2">
                  <c:v>37188008137</c:v>
                </c:pt>
                <c:pt idx="3">
                  <c:v>37340008156</c:v>
                </c:pt>
                <c:pt idx="4">
                  <c:v>37530008175</c:v>
                </c:pt>
                <c:pt idx="5">
                  <c:v>37758008194</c:v>
                </c:pt>
                <c:pt idx="6">
                  <c:v>38024008213</c:v>
                </c:pt>
                <c:pt idx="7">
                  <c:v>38328008232</c:v>
                </c:pt>
                <c:pt idx="8">
                  <c:v>38670008251</c:v>
                </c:pt>
                <c:pt idx="9">
                  <c:v>39050008270</c:v>
                </c:pt>
                <c:pt idx="10">
                  <c:v>39468008289</c:v>
                </c:pt>
                <c:pt idx="11">
                  <c:v>39924008308</c:v>
                </c:pt>
                <c:pt idx="12">
                  <c:v>40418008327</c:v>
                </c:pt>
                <c:pt idx="13">
                  <c:v>40950008346</c:v>
                </c:pt>
                <c:pt idx="14">
                  <c:v>41520008365</c:v>
                </c:pt>
                <c:pt idx="15">
                  <c:v>42128008384</c:v>
                </c:pt>
                <c:pt idx="16">
                  <c:v>42774008403</c:v>
                </c:pt>
                <c:pt idx="17">
                  <c:v>43458008422</c:v>
                </c:pt>
                <c:pt idx="18">
                  <c:v>44180008441</c:v>
                </c:pt>
                <c:pt idx="19">
                  <c:v>44940008460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88-4B6C-9787-28253452EDBA}"/>
            </c:ext>
          </c:extLst>
        </c:ser>
        <c:ser>
          <c:idx val="1"/>
          <c:order val="1"/>
          <c:tx>
            <c:v>Zależność przypisań od długości tablicy dla d =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'radix sort'!$Z$27:$Z$46</c:f>
              <c:numCache>
                <c:formatCode>0.00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'radix sort'!$AB$27:$AB$46</c:f>
              <c:numCache>
                <c:formatCode>0.00</c:formatCode>
                <c:ptCount val="20"/>
                <c:pt idx="0">
                  <c:v>44958008487</c:v>
                </c:pt>
                <c:pt idx="1">
                  <c:v>44994008514</c:v>
                </c:pt>
                <c:pt idx="2">
                  <c:v>45048008541</c:v>
                </c:pt>
                <c:pt idx="3">
                  <c:v>45120008568</c:v>
                </c:pt>
                <c:pt idx="4">
                  <c:v>45210008595</c:v>
                </c:pt>
                <c:pt idx="5">
                  <c:v>45318008622</c:v>
                </c:pt>
                <c:pt idx="6">
                  <c:v>45444008649</c:v>
                </c:pt>
                <c:pt idx="7">
                  <c:v>45588008676</c:v>
                </c:pt>
                <c:pt idx="8">
                  <c:v>45750008703</c:v>
                </c:pt>
                <c:pt idx="9">
                  <c:v>45930008730</c:v>
                </c:pt>
                <c:pt idx="10">
                  <c:v>46128008757</c:v>
                </c:pt>
                <c:pt idx="11">
                  <c:v>46344008784</c:v>
                </c:pt>
                <c:pt idx="12">
                  <c:v>46578008811</c:v>
                </c:pt>
                <c:pt idx="13">
                  <c:v>46830008838</c:v>
                </c:pt>
                <c:pt idx="14">
                  <c:v>47100008865</c:v>
                </c:pt>
                <c:pt idx="15">
                  <c:v>47388008892</c:v>
                </c:pt>
                <c:pt idx="16">
                  <c:v>47694008919</c:v>
                </c:pt>
                <c:pt idx="17">
                  <c:v>48018008946</c:v>
                </c:pt>
                <c:pt idx="18">
                  <c:v>48360008973</c:v>
                </c:pt>
                <c:pt idx="19">
                  <c:v>48720009000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88-4B6C-9787-28253452EDBA}"/>
            </c:ext>
          </c:extLst>
        </c:ser>
        <c:ser>
          <c:idx val="2"/>
          <c:order val="2"/>
          <c:tx>
            <c:v>Zależność przypisań od długości tablicy dla d = 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'radix sort'!$Z$51:$Z$70</c:f>
              <c:numCache>
                <c:formatCode>0.00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'radix sort'!$AB$51:$AB$70</c:f>
              <c:numCache>
                <c:formatCode>0.00</c:formatCode>
                <c:ptCount val="20"/>
                <c:pt idx="0">
                  <c:v>48732009042</c:v>
                </c:pt>
                <c:pt idx="1">
                  <c:v>48756009084</c:v>
                </c:pt>
                <c:pt idx="2">
                  <c:v>48792009126</c:v>
                </c:pt>
                <c:pt idx="3">
                  <c:v>48840009168</c:v>
                </c:pt>
                <c:pt idx="4">
                  <c:v>48900009210</c:v>
                </c:pt>
                <c:pt idx="5">
                  <c:v>48972009252</c:v>
                </c:pt>
                <c:pt idx="6">
                  <c:v>49056009294</c:v>
                </c:pt>
                <c:pt idx="7">
                  <c:v>49152009336</c:v>
                </c:pt>
                <c:pt idx="8">
                  <c:v>49260009378</c:v>
                </c:pt>
                <c:pt idx="9">
                  <c:v>49380009420</c:v>
                </c:pt>
                <c:pt idx="10">
                  <c:v>49512009462</c:v>
                </c:pt>
                <c:pt idx="11">
                  <c:v>49656009504</c:v>
                </c:pt>
                <c:pt idx="12">
                  <c:v>49812009546</c:v>
                </c:pt>
                <c:pt idx="13">
                  <c:v>49980009588</c:v>
                </c:pt>
                <c:pt idx="14">
                  <c:v>50160009630</c:v>
                </c:pt>
                <c:pt idx="15">
                  <c:v>50352009672</c:v>
                </c:pt>
                <c:pt idx="16">
                  <c:v>50556009714</c:v>
                </c:pt>
                <c:pt idx="17">
                  <c:v>50772009756</c:v>
                </c:pt>
                <c:pt idx="18">
                  <c:v>51000009798</c:v>
                </c:pt>
                <c:pt idx="19">
                  <c:v>51240009840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88-4B6C-9787-28253452EDBA}"/>
            </c:ext>
          </c:extLst>
        </c:ser>
        <c:ser>
          <c:idx val="3"/>
          <c:order val="3"/>
          <c:tx>
            <c:v>Zależność przypisań od długości tablicy dla d = 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'radix sort'!$Z$75:$Z$94</c:f>
              <c:numCache>
                <c:formatCode>0.00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'radix sort'!$AB$75:$AB$94</c:f>
              <c:numCache>
                <c:formatCode>0.00</c:formatCode>
                <c:ptCount val="20"/>
                <c:pt idx="0">
                  <c:v>51252009894</c:v>
                </c:pt>
                <c:pt idx="1">
                  <c:v>51276009948</c:v>
                </c:pt>
                <c:pt idx="2">
                  <c:v>51312010002</c:v>
                </c:pt>
                <c:pt idx="3">
                  <c:v>51360010056</c:v>
                </c:pt>
                <c:pt idx="4">
                  <c:v>51420010110</c:v>
                </c:pt>
                <c:pt idx="5">
                  <c:v>51492010164</c:v>
                </c:pt>
                <c:pt idx="6">
                  <c:v>51576010218</c:v>
                </c:pt>
                <c:pt idx="7">
                  <c:v>51672010272</c:v>
                </c:pt>
                <c:pt idx="8">
                  <c:v>51780010326</c:v>
                </c:pt>
                <c:pt idx="9">
                  <c:v>51900010380</c:v>
                </c:pt>
                <c:pt idx="10">
                  <c:v>52032010434</c:v>
                </c:pt>
                <c:pt idx="11">
                  <c:v>52176010488</c:v>
                </c:pt>
                <c:pt idx="12">
                  <c:v>52332010542</c:v>
                </c:pt>
                <c:pt idx="13">
                  <c:v>52500010596</c:v>
                </c:pt>
                <c:pt idx="14">
                  <c:v>52680010650</c:v>
                </c:pt>
                <c:pt idx="15">
                  <c:v>52872010704</c:v>
                </c:pt>
                <c:pt idx="16">
                  <c:v>53076010758</c:v>
                </c:pt>
                <c:pt idx="17">
                  <c:v>53292010812</c:v>
                </c:pt>
                <c:pt idx="18">
                  <c:v>53520010866</c:v>
                </c:pt>
                <c:pt idx="19">
                  <c:v>53760010920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88-4B6C-9787-28253452EDBA}"/>
            </c:ext>
          </c:extLst>
        </c:ser>
        <c:ser>
          <c:idx val="4"/>
          <c:order val="4"/>
          <c:tx>
            <c:v>Zależność przypisań od długości tablicy dla d = 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'radix sort'!$Z$99:$Z$118</c:f>
              <c:numCache>
                <c:formatCode>0.00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'radix sort'!$AB$99:$AB$118</c:f>
              <c:numCache>
                <c:formatCode>0.00</c:formatCode>
                <c:ptCount val="20"/>
                <c:pt idx="0">
                  <c:v>53768010980</c:v>
                </c:pt>
                <c:pt idx="1">
                  <c:v>53784011040</c:v>
                </c:pt>
                <c:pt idx="2">
                  <c:v>53808011100</c:v>
                </c:pt>
                <c:pt idx="3">
                  <c:v>53840011160</c:v>
                </c:pt>
                <c:pt idx="4">
                  <c:v>53880011220</c:v>
                </c:pt>
                <c:pt idx="5">
                  <c:v>53928011280</c:v>
                </c:pt>
                <c:pt idx="6">
                  <c:v>53984011340</c:v>
                </c:pt>
                <c:pt idx="7">
                  <c:v>54048011400</c:v>
                </c:pt>
                <c:pt idx="8">
                  <c:v>54120011460</c:v>
                </c:pt>
                <c:pt idx="9">
                  <c:v>54200011520</c:v>
                </c:pt>
                <c:pt idx="10">
                  <c:v>54288011580</c:v>
                </c:pt>
                <c:pt idx="11">
                  <c:v>54384011640</c:v>
                </c:pt>
                <c:pt idx="12">
                  <c:v>54488011700</c:v>
                </c:pt>
                <c:pt idx="13">
                  <c:v>54600011760</c:v>
                </c:pt>
                <c:pt idx="14">
                  <c:v>54720011820</c:v>
                </c:pt>
                <c:pt idx="15">
                  <c:v>54848011880</c:v>
                </c:pt>
                <c:pt idx="16">
                  <c:v>54984011940</c:v>
                </c:pt>
                <c:pt idx="17">
                  <c:v>55128012000</c:v>
                </c:pt>
                <c:pt idx="18">
                  <c:v>55280012060</c:v>
                </c:pt>
                <c:pt idx="19">
                  <c:v>55440012120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88-4B6C-9787-28253452E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  <c:max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Długość tablicy 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  <c:min val="3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przypisań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Zależność porównań od długości tablicy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porównań od długości tablicy dla d =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'radix sort'!$Z$3:$Z$22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'radix sort'!$AC$3:$AC$22</c:f>
              <c:numCache>
                <c:formatCode>General</c:formatCode>
                <c:ptCount val="20"/>
                <c:pt idx="0">
                  <c:v>2639.6</c:v>
                </c:pt>
                <c:pt idx="1">
                  <c:v>2651.6</c:v>
                </c:pt>
                <c:pt idx="2">
                  <c:v>2664.4</c:v>
                </c:pt>
                <c:pt idx="3">
                  <c:v>2680.6</c:v>
                </c:pt>
                <c:pt idx="4">
                  <c:v>2693.8</c:v>
                </c:pt>
                <c:pt idx="5">
                  <c:v>2706.4</c:v>
                </c:pt>
                <c:pt idx="6">
                  <c:v>2715.8</c:v>
                </c:pt>
                <c:pt idx="7">
                  <c:v>2730</c:v>
                </c:pt>
                <c:pt idx="8">
                  <c:v>2742.4</c:v>
                </c:pt>
                <c:pt idx="9">
                  <c:v>2756.2</c:v>
                </c:pt>
                <c:pt idx="10">
                  <c:v>2770.2</c:v>
                </c:pt>
                <c:pt idx="11">
                  <c:v>2783.4</c:v>
                </c:pt>
                <c:pt idx="12">
                  <c:v>2798.4</c:v>
                </c:pt>
                <c:pt idx="13">
                  <c:v>2814</c:v>
                </c:pt>
                <c:pt idx="14">
                  <c:v>2826.6</c:v>
                </c:pt>
                <c:pt idx="15">
                  <c:v>2840.2</c:v>
                </c:pt>
                <c:pt idx="16">
                  <c:v>2854.2</c:v>
                </c:pt>
                <c:pt idx="17">
                  <c:v>2868</c:v>
                </c:pt>
                <c:pt idx="18">
                  <c:v>2881.6</c:v>
                </c:pt>
                <c:pt idx="19">
                  <c:v>2897.4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CC-4C56-BC72-F976930DBCF9}"/>
            </c:ext>
          </c:extLst>
        </c:ser>
        <c:ser>
          <c:idx val="1"/>
          <c:order val="1"/>
          <c:tx>
            <c:v>Zależność porównań od długości tablicy dla d =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'radix sort'!$Z$27:$Z$46</c:f>
              <c:numCache>
                <c:formatCode>0.00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'radix sort'!$AC$27:$AC$46</c:f>
              <c:numCache>
                <c:formatCode>0.00</c:formatCode>
                <c:ptCount val="20"/>
                <c:pt idx="0">
                  <c:v>2911.6</c:v>
                </c:pt>
                <c:pt idx="1">
                  <c:v>2922.6</c:v>
                </c:pt>
                <c:pt idx="2">
                  <c:v>2935.2</c:v>
                </c:pt>
                <c:pt idx="3">
                  <c:v>2948.2</c:v>
                </c:pt>
                <c:pt idx="4">
                  <c:v>2964</c:v>
                </c:pt>
                <c:pt idx="5">
                  <c:v>2978.6</c:v>
                </c:pt>
                <c:pt idx="6">
                  <c:v>2988.6</c:v>
                </c:pt>
                <c:pt idx="7">
                  <c:v>3002.6</c:v>
                </c:pt>
                <c:pt idx="8">
                  <c:v>3014.8</c:v>
                </c:pt>
                <c:pt idx="9">
                  <c:v>3027.4</c:v>
                </c:pt>
                <c:pt idx="10">
                  <c:v>3039.8</c:v>
                </c:pt>
                <c:pt idx="11">
                  <c:v>3053</c:v>
                </c:pt>
                <c:pt idx="12">
                  <c:v>3066.2</c:v>
                </c:pt>
                <c:pt idx="13">
                  <c:v>3079.6</c:v>
                </c:pt>
                <c:pt idx="14">
                  <c:v>3092.4</c:v>
                </c:pt>
                <c:pt idx="15">
                  <c:v>3105.4</c:v>
                </c:pt>
                <c:pt idx="16">
                  <c:v>3120.2</c:v>
                </c:pt>
                <c:pt idx="17">
                  <c:v>3131.2</c:v>
                </c:pt>
                <c:pt idx="18">
                  <c:v>3142</c:v>
                </c:pt>
                <c:pt idx="19">
                  <c:v>3157.2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CC-4C56-BC72-F976930DBCF9}"/>
            </c:ext>
          </c:extLst>
        </c:ser>
        <c:ser>
          <c:idx val="2"/>
          <c:order val="2"/>
          <c:tx>
            <c:v>Zależność porównań od długości tablicy dla d = 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'radix sort'!$Z$51:$Z$70</c:f>
              <c:numCache>
                <c:formatCode>0.00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'radix sort'!$AC$51:$AC$70</c:f>
              <c:numCache>
                <c:formatCode>0.00</c:formatCode>
                <c:ptCount val="20"/>
                <c:pt idx="0">
                  <c:v>3168.6</c:v>
                </c:pt>
                <c:pt idx="1">
                  <c:v>3179.2</c:v>
                </c:pt>
                <c:pt idx="2">
                  <c:v>3192.8</c:v>
                </c:pt>
                <c:pt idx="3">
                  <c:v>3203.6</c:v>
                </c:pt>
                <c:pt idx="4">
                  <c:v>3217</c:v>
                </c:pt>
                <c:pt idx="5">
                  <c:v>3230.8</c:v>
                </c:pt>
                <c:pt idx="6">
                  <c:v>3247.6</c:v>
                </c:pt>
                <c:pt idx="7">
                  <c:v>3262</c:v>
                </c:pt>
                <c:pt idx="8">
                  <c:v>3276.4</c:v>
                </c:pt>
                <c:pt idx="9">
                  <c:v>3290.2</c:v>
                </c:pt>
                <c:pt idx="10">
                  <c:v>3302.6</c:v>
                </c:pt>
                <c:pt idx="11">
                  <c:v>3315.2</c:v>
                </c:pt>
                <c:pt idx="12">
                  <c:v>3326.6</c:v>
                </c:pt>
                <c:pt idx="13">
                  <c:v>3342</c:v>
                </c:pt>
                <c:pt idx="14">
                  <c:v>3356.8</c:v>
                </c:pt>
                <c:pt idx="15">
                  <c:v>3370.4</c:v>
                </c:pt>
                <c:pt idx="16">
                  <c:v>3382.4</c:v>
                </c:pt>
                <c:pt idx="17">
                  <c:v>3393.8</c:v>
                </c:pt>
                <c:pt idx="18">
                  <c:v>3405.2</c:v>
                </c:pt>
                <c:pt idx="19">
                  <c:v>3418.2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CC-4C56-BC72-F976930DBCF9}"/>
            </c:ext>
          </c:extLst>
        </c:ser>
        <c:ser>
          <c:idx val="3"/>
          <c:order val="3"/>
          <c:tx>
            <c:v>Zależność porównań od długości tablicy dla d = 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'radix sort'!$Z$75:$Z$94</c:f>
              <c:numCache>
                <c:formatCode>0.00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'radix sort'!$AC$75:$AC$94</c:f>
              <c:numCache>
                <c:formatCode>0.00</c:formatCode>
                <c:ptCount val="20"/>
                <c:pt idx="0">
                  <c:v>3432.2</c:v>
                </c:pt>
                <c:pt idx="1">
                  <c:v>3447</c:v>
                </c:pt>
                <c:pt idx="2">
                  <c:v>3457</c:v>
                </c:pt>
                <c:pt idx="3">
                  <c:v>3471.8</c:v>
                </c:pt>
                <c:pt idx="4">
                  <c:v>3485.4</c:v>
                </c:pt>
                <c:pt idx="5">
                  <c:v>3501.6</c:v>
                </c:pt>
                <c:pt idx="6">
                  <c:v>3517</c:v>
                </c:pt>
                <c:pt idx="7">
                  <c:v>3534.4</c:v>
                </c:pt>
                <c:pt idx="8">
                  <c:v>3549.6</c:v>
                </c:pt>
                <c:pt idx="9">
                  <c:v>3562.2</c:v>
                </c:pt>
                <c:pt idx="10">
                  <c:v>3575.8</c:v>
                </c:pt>
                <c:pt idx="11">
                  <c:v>3590.4</c:v>
                </c:pt>
                <c:pt idx="12">
                  <c:v>3604.2</c:v>
                </c:pt>
                <c:pt idx="13">
                  <c:v>3619</c:v>
                </c:pt>
                <c:pt idx="14">
                  <c:v>3633.2</c:v>
                </c:pt>
                <c:pt idx="15">
                  <c:v>3648</c:v>
                </c:pt>
                <c:pt idx="16">
                  <c:v>3660.4</c:v>
                </c:pt>
                <c:pt idx="17">
                  <c:v>3675</c:v>
                </c:pt>
                <c:pt idx="18">
                  <c:v>3690.4</c:v>
                </c:pt>
                <c:pt idx="19">
                  <c:v>3703.2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FCC-4C56-BC72-F976930DBCF9}"/>
            </c:ext>
          </c:extLst>
        </c:ser>
        <c:ser>
          <c:idx val="4"/>
          <c:order val="4"/>
          <c:tx>
            <c:v>Zależność porównań od długości tablicy dla d = 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'radix sort'!$Z$99:$Z$118</c:f>
              <c:numCache>
                <c:formatCode>0.00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'radix sort'!$AC$99:$AC$118</c:f>
              <c:numCache>
                <c:formatCode>0.00</c:formatCode>
                <c:ptCount val="20"/>
                <c:pt idx="0">
                  <c:v>3716.4</c:v>
                </c:pt>
                <c:pt idx="1">
                  <c:v>3728.2</c:v>
                </c:pt>
                <c:pt idx="2">
                  <c:v>3741.2</c:v>
                </c:pt>
                <c:pt idx="3">
                  <c:v>3755.8</c:v>
                </c:pt>
                <c:pt idx="4">
                  <c:v>3767.6</c:v>
                </c:pt>
                <c:pt idx="5">
                  <c:v>3778.4</c:v>
                </c:pt>
                <c:pt idx="6">
                  <c:v>3787.8</c:v>
                </c:pt>
                <c:pt idx="7">
                  <c:v>3801</c:v>
                </c:pt>
                <c:pt idx="8">
                  <c:v>3813.2</c:v>
                </c:pt>
                <c:pt idx="9">
                  <c:v>3825.6</c:v>
                </c:pt>
                <c:pt idx="10">
                  <c:v>3837.2</c:v>
                </c:pt>
                <c:pt idx="11">
                  <c:v>3848</c:v>
                </c:pt>
                <c:pt idx="12">
                  <c:v>3857.6</c:v>
                </c:pt>
                <c:pt idx="13">
                  <c:v>3869.6</c:v>
                </c:pt>
                <c:pt idx="14">
                  <c:v>3880.8</c:v>
                </c:pt>
                <c:pt idx="15">
                  <c:v>3891.6</c:v>
                </c:pt>
                <c:pt idx="16">
                  <c:v>3902.4</c:v>
                </c:pt>
                <c:pt idx="17">
                  <c:v>3917.4</c:v>
                </c:pt>
                <c:pt idx="18">
                  <c:v>3931.6</c:v>
                </c:pt>
                <c:pt idx="19">
                  <c:v>3943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FCC-4C56-BC72-F976930DB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  <c:max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Długość tablicy 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czasu od długości tablicy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czasu od długości tablicy dla d =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'modded radix sort'!$Z$3:$Z$22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'modded radix sort'!$AA$3:$AA$22</c:f>
              <c:numCache>
                <c:formatCode>General</c:formatCode>
                <c:ptCount val="20"/>
                <c:pt idx="0">
                  <c:v>332</c:v>
                </c:pt>
                <c:pt idx="1">
                  <c:v>668.6</c:v>
                </c:pt>
                <c:pt idx="2">
                  <c:v>1005.6</c:v>
                </c:pt>
                <c:pt idx="3">
                  <c:v>1322</c:v>
                </c:pt>
                <c:pt idx="4">
                  <c:v>1668.2</c:v>
                </c:pt>
                <c:pt idx="5">
                  <c:v>2173.8000000000002</c:v>
                </c:pt>
                <c:pt idx="6">
                  <c:v>2500</c:v>
                </c:pt>
                <c:pt idx="7">
                  <c:v>2896.8</c:v>
                </c:pt>
                <c:pt idx="8">
                  <c:v>3220.8</c:v>
                </c:pt>
                <c:pt idx="9">
                  <c:v>3612.8</c:v>
                </c:pt>
                <c:pt idx="10">
                  <c:v>3992.6</c:v>
                </c:pt>
                <c:pt idx="11">
                  <c:v>4347.6000000000004</c:v>
                </c:pt>
                <c:pt idx="12">
                  <c:v>4683.6000000000004</c:v>
                </c:pt>
                <c:pt idx="13">
                  <c:v>5098</c:v>
                </c:pt>
                <c:pt idx="14">
                  <c:v>5468.2</c:v>
                </c:pt>
                <c:pt idx="15">
                  <c:v>5795.4</c:v>
                </c:pt>
                <c:pt idx="16">
                  <c:v>6222.4</c:v>
                </c:pt>
                <c:pt idx="17">
                  <c:v>6472.6</c:v>
                </c:pt>
                <c:pt idx="18">
                  <c:v>6812.2</c:v>
                </c:pt>
                <c:pt idx="19">
                  <c:v>7212.8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94-4F1E-AB1A-2F2A8F89DFDB}"/>
            </c:ext>
          </c:extLst>
        </c:ser>
        <c:ser>
          <c:idx val="1"/>
          <c:order val="1"/>
          <c:tx>
            <c:v>Zależność czasu od długości tablicy dla d =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'modded radix sort'!$Z$27:$Z$46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'modded radix sort'!$AA$27:$AA$46</c:f>
              <c:numCache>
                <c:formatCode>General</c:formatCode>
                <c:ptCount val="20"/>
                <c:pt idx="0">
                  <c:v>173</c:v>
                </c:pt>
                <c:pt idx="1">
                  <c:v>348.4</c:v>
                </c:pt>
                <c:pt idx="2">
                  <c:v>516.6</c:v>
                </c:pt>
                <c:pt idx="3">
                  <c:v>694</c:v>
                </c:pt>
                <c:pt idx="4">
                  <c:v>866.6</c:v>
                </c:pt>
                <c:pt idx="5">
                  <c:v>1014.6</c:v>
                </c:pt>
                <c:pt idx="6">
                  <c:v>1219</c:v>
                </c:pt>
                <c:pt idx="7">
                  <c:v>1389.2</c:v>
                </c:pt>
                <c:pt idx="8">
                  <c:v>1565.6</c:v>
                </c:pt>
                <c:pt idx="9">
                  <c:v>1729.2</c:v>
                </c:pt>
                <c:pt idx="10">
                  <c:v>1893</c:v>
                </c:pt>
                <c:pt idx="11">
                  <c:v>2060.1999999999998</c:v>
                </c:pt>
                <c:pt idx="12">
                  <c:v>2270.8000000000002</c:v>
                </c:pt>
                <c:pt idx="13">
                  <c:v>2429.8000000000002</c:v>
                </c:pt>
                <c:pt idx="14">
                  <c:v>2608</c:v>
                </c:pt>
                <c:pt idx="15">
                  <c:v>2752</c:v>
                </c:pt>
                <c:pt idx="16">
                  <c:v>2968.2</c:v>
                </c:pt>
                <c:pt idx="17">
                  <c:v>3131.2</c:v>
                </c:pt>
                <c:pt idx="18">
                  <c:v>3281.4</c:v>
                </c:pt>
                <c:pt idx="19">
                  <c:v>3441.8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CD-4A3A-B22D-3ABE411C4398}"/>
            </c:ext>
          </c:extLst>
        </c:ser>
        <c:ser>
          <c:idx val="2"/>
          <c:order val="2"/>
          <c:tx>
            <c:v>Zależność czasu od długości tablicy dla d = 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'modded radix sort'!$Z$51:$Z$70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'modded radix sort'!$AA$51:$AA$70</c:f>
              <c:numCache>
                <c:formatCode>General</c:formatCode>
                <c:ptCount val="20"/>
                <c:pt idx="0">
                  <c:v>118</c:v>
                </c:pt>
                <c:pt idx="1">
                  <c:v>231.2</c:v>
                </c:pt>
                <c:pt idx="2">
                  <c:v>335.4</c:v>
                </c:pt>
                <c:pt idx="3">
                  <c:v>472.6</c:v>
                </c:pt>
                <c:pt idx="4">
                  <c:v>580</c:v>
                </c:pt>
                <c:pt idx="5">
                  <c:v>700.2</c:v>
                </c:pt>
                <c:pt idx="6">
                  <c:v>815.8</c:v>
                </c:pt>
                <c:pt idx="7">
                  <c:v>933.8</c:v>
                </c:pt>
                <c:pt idx="8">
                  <c:v>1046.8</c:v>
                </c:pt>
                <c:pt idx="9">
                  <c:v>1175.5999999999999</c:v>
                </c:pt>
                <c:pt idx="10">
                  <c:v>1289</c:v>
                </c:pt>
                <c:pt idx="11">
                  <c:v>1405.8</c:v>
                </c:pt>
                <c:pt idx="12">
                  <c:v>1508.2</c:v>
                </c:pt>
                <c:pt idx="13">
                  <c:v>1644.2</c:v>
                </c:pt>
                <c:pt idx="14">
                  <c:v>1760.6</c:v>
                </c:pt>
                <c:pt idx="15">
                  <c:v>1880.4</c:v>
                </c:pt>
                <c:pt idx="16">
                  <c:v>1980.8</c:v>
                </c:pt>
                <c:pt idx="17">
                  <c:v>2124</c:v>
                </c:pt>
                <c:pt idx="18">
                  <c:v>2238.4</c:v>
                </c:pt>
                <c:pt idx="19">
                  <c:v>2323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CD-4A3A-B22D-3ABE411C4398}"/>
            </c:ext>
          </c:extLst>
        </c:ser>
        <c:ser>
          <c:idx val="3"/>
          <c:order val="3"/>
          <c:tx>
            <c:v>Zależność czasu od długości tablicy dla d = 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'modded radix sort'!$Z$75:$Z$94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'modded radix sort'!$AA$75:$AA$94</c:f>
              <c:numCache>
                <c:formatCode>General</c:formatCode>
                <c:ptCount val="20"/>
                <c:pt idx="0">
                  <c:v>119.8</c:v>
                </c:pt>
                <c:pt idx="1">
                  <c:v>230.8</c:v>
                </c:pt>
                <c:pt idx="2">
                  <c:v>357.6</c:v>
                </c:pt>
                <c:pt idx="3">
                  <c:v>468.8</c:v>
                </c:pt>
                <c:pt idx="4">
                  <c:v>589.20000000000005</c:v>
                </c:pt>
                <c:pt idx="5">
                  <c:v>708.2</c:v>
                </c:pt>
                <c:pt idx="6">
                  <c:v>830.4</c:v>
                </c:pt>
                <c:pt idx="7">
                  <c:v>951</c:v>
                </c:pt>
                <c:pt idx="8">
                  <c:v>1064.2</c:v>
                </c:pt>
                <c:pt idx="9">
                  <c:v>1195.2</c:v>
                </c:pt>
                <c:pt idx="10">
                  <c:v>1319.4</c:v>
                </c:pt>
                <c:pt idx="11">
                  <c:v>1427.2</c:v>
                </c:pt>
                <c:pt idx="12">
                  <c:v>1530.4</c:v>
                </c:pt>
                <c:pt idx="13">
                  <c:v>1659.8</c:v>
                </c:pt>
                <c:pt idx="14">
                  <c:v>1775.4</c:v>
                </c:pt>
                <c:pt idx="15">
                  <c:v>1888.4</c:v>
                </c:pt>
                <c:pt idx="16">
                  <c:v>2005.4</c:v>
                </c:pt>
                <c:pt idx="17">
                  <c:v>2110.6</c:v>
                </c:pt>
                <c:pt idx="18">
                  <c:v>2218.6</c:v>
                </c:pt>
                <c:pt idx="19">
                  <c:v>2355.1999999999998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CD-4A3A-B22D-3ABE411C4398}"/>
            </c:ext>
          </c:extLst>
        </c:ser>
        <c:ser>
          <c:idx val="4"/>
          <c:order val="4"/>
          <c:tx>
            <c:v>Zależność czasu od długości tablicy dla d = 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'modded radix sort'!$Z$99:$Z$118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'modded radix sort'!$AA$99:$AA$118</c:f>
              <c:numCache>
                <c:formatCode>General</c:formatCode>
                <c:ptCount val="20"/>
                <c:pt idx="0">
                  <c:v>80.8</c:v>
                </c:pt>
                <c:pt idx="1">
                  <c:v>157.19999999999999</c:v>
                </c:pt>
                <c:pt idx="2">
                  <c:v>239.6</c:v>
                </c:pt>
                <c:pt idx="3">
                  <c:v>317.2</c:v>
                </c:pt>
                <c:pt idx="4">
                  <c:v>393.8</c:v>
                </c:pt>
                <c:pt idx="5">
                  <c:v>476.8</c:v>
                </c:pt>
                <c:pt idx="6">
                  <c:v>555.6</c:v>
                </c:pt>
                <c:pt idx="7">
                  <c:v>638.79999999999995</c:v>
                </c:pt>
                <c:pt idx="8">
                  <c:v>721.6</c:v>
                </c:pt>
                <c:pt idx="9">
                  <c:v>806</c:v>
                </c:pt>
                <c:pt idx="10">
                  <c:v>884.2</c:v>
                </c:pt>
                <c:pt idx="11">
                  <c:v>958</c:v>
                </c:pt>
                <c:pt idx="12">
                  <c:v>1045.4000000000001</c:v>
                </c:pt>
                <c:pt idx="13">
                  <c:v>1128.4000000000001</c:v>
                </c:pt>
                <c:pt idx="14">
                  <c:v>1193.5999999999999</c:v>
                </c:pt>
                <c:pt idx="15">
                  <c:v>1271.8</c:v>
                </c:pt>
                <c:pt idx="16">
                  <c:v>1370.2</c:v>
                </c:pt>
                <c:pt idx="17">
                  <c:v>1436.8</c:v>
                </c:pt>
                <c:pt idx="18">
                  <c:v>1533.4</c:v>
                </c:pt>
                <c:pt idx="19">
                  <c:v>1608.2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CD-4A3A-B22D-3ABE411C4398}"/>
            </c:ext>
          </c:extLst>
        </c:ser>
        <c:ser>
          <c:idx val="5"/>
          <c:order val="5"/>
          <c:tx>
            <c:v>Zależność czasu od długości tablicy dla d = 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'modded radix sort'!$Z$51:$Z$70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'modded radix sort'!$AA$51:$AA$70</c:f>
              <c:numCache>
                <c:formatCode>General</c:formatCode>
                <c:ptCount val="20"/>
                <c:pt idx="0">
                  <c:v>118</c:v>
                </c:pt>
                <c:pt idx="1">
                  <c:v>231.2</c:v>
                </c:pt>
                <c:pt idx="2">
                  <c:v>335.4</c:v>
                </c:pt>
                <c:pt idx="3">
                  <c:v>472.6</c:v>
                </c:pt>
                <c:pt idx="4">
                  <c:v>580</c:v>
                </c:pt>
                <c:pt idx="5">
                  <c:v>700.2</c:v>
                </c:pt>
                <c:pt idx="6">
                  <c:v>815.8</c:v>
                </c:pt>
                <c:pt idx="7">
                  <c:v>933.8</c:v>
                </c:pt>
                <c:pt idx="8">
                  <c:v>1046.8</c:v>
                </c:pt>
                <c:pt idx="9">
                  <c:v>1175.5999999999999</c:v>
                </c:pt>
                <c:pt idx="10">
                  <c:v>1289</c:v>
                </c:pt>
                <c:pt idx="11">
                  <c:v>1405.8</c:v>
                </c:pt>
                <c:pt idx="12">
                  <c:v>1508.2</c:v>
                </c:pt>
                <c:pt idx="13">
                  <c:v>1644.2</c:v>
                </c:pt>
                <c:pt idx="14">
                  <c:v>1760.6</c:v>
                </c:pt>
                <c:pt idx="15">
                  <c:v>1880.4</c:v>
                </c:pt>
                <c:pt idx="16">
                  <c:v>1980.8</c:v>
                </c:pt>
                <c:pt idx="17">
                  <c:v>2124</c:v>
                </c:pt>
                <c:pt idx="18">
                  <c:v>2238.4</c:v>
                </c:pt>
                <c:pt idx="19">
                  <c:v>2323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CD-4A3A-B22D-3ABE411C4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  <c:max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aseline="0"/>
                  <a:t>Długość tablicy n</a:t>
                </a:r>
                <a:r>
                  <a:rPr lang="pl-PL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Czas</a:t>
                </a:r>
                <a:r>
                  <a:rPr lang="pl-PL" baseline="0"/>
                  <a:t> (ms)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Zależność przypisań od długości tablicy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przypisań od długości tablicy dla d =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'modded radix sort'!$Z$3:$Z$22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'modded radix sort'!$AB$3:$AB$22</c:f>
              <c:numCache>
                <c:formatCode>General</c:formatCode>
                <c:ptCount val="20"/>
                <c:pt idx="0">
                  <c:v>39099008099</c:v>
                </c:pt>
                <c:pt idx="1">
                  <c:v>39177008118</c:v>
                </c:pt>
                <c:pt idx="2">
                  <c:v>39294008137</c:v>
                </c:pt>
                <c:pt idx="3">
                  <c:v>39450008156</c:v>
                </c:pt>
                <c:pt idx="4">
                  <c:v>39645008175</c:v>
                </c:pt>
                <c:pt idx="5">
                  <c:v>39879008194</c:v>
                </c:pt>
                <c:pt idx="6">
                  <c:v>40152008213</c:v>
                </c:pt>
                <c:pt idx="7">
                  <c:v>40464008232</c:v>
                </c:pt>
                <c:pt idx="8">
                  <c:v>40815008251</c:v>
                </c:pt>
                <c:pt idx="9">
                  <c:v>41205008270</c:v>
                </c:pt>
                <c:pt idx="10">
                  <c:v>41634008289</c:v>
                </c:pt>
                <c:pt idx="11">
                  <c:v>42102008308</c:v>
                </c:pt>
                <c:pt idx="12">
                  <c:v>42609008327</c:v>
                </c:pt>
                <c:pt idx="13">
                  <c:v>43155008346</c:v>
                </c:pt>
                <c:pt idx="14">
                  <c:v>43740008365</c:v>
                </c:pt>
                <c:pt idx="15">
                  <c:v>44364008384</c:v>
                </c:pt>
                <c:pt idx="16">
                  <c:v>45027008403</c:v>
                </c:pt>
                <c:pt idx="17">
                  <c:v>45729008422</c:v>
                </c:pt>
                <c:pt idx="18">
                  <c:v>46470008441</c:v>
                </c:pt>
                <c:pt idx="19">
                  <c:v>47250008460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63-4172-AED3-332855543A42}"/>
            </c:ext>
          </c:extLst>
        </c:ser>
        <c:ser>
          <c:idx val="1"/>
          <c:order val="1"/>
          <c:tx>
            <c:v>Zależność przypisań od długości tablicy dla d =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'modded radix sort'!$Z$27:$Z$46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'modded radix sort'!$AB$27:$AB$46</c:f>
              <c:numCache>
                <c:formatCode>General</c:formatCode>
                <c:ptCount val="20"/>
                <c:pt idx="0">
                  <c:v>47269008487</c:v>
                </c:pt>
                <c:pt idx="1">
                  <c:v>47307008514</c:v>
                </c:pt>
                <c:pt idx="2">
                  <c:v>47364008541</c:v>
                </c:pt>
                <c:pt idx="3">
                  <c:v>47440008568</c:v>
                </c:pt>
                <c:pt idx="4">
                  <c:v>47535008595</c:v>
                </c:pt>
                <c:pt idx="5">
                  <c:v>47649008622</c:v>
                </c:pt>
                <c:pt idx="6">
                  <c:v>47782008649</c:v>
                </c:pt>
                <c:pt idx="7">
                  <c:v>47934008676</c:v>
                </c:pt>
                <c:pt idx="8">
                  <c:v>48105008703</c:v>
                </c:pt>
                <c:pt idx="9">
                  <c:v>48295008730</c:v>
                </c:pt>
                <c:pt idx="10">
                  <c:v>48504008757</c:v>
                </c:pt>
                <c:pt idx="11">
                  <c:v>48732008784</c:v>
                </c:pt>
                <c:pt idx="12">
                  <c:v>48979008811</c:v>
                </c:pt>
                <c:pt idx="13">
                  <c:v>49245008838</c:v>
                </c:pt>
                <c:pt idx="14">
                  <c:v>49530008865</c:v>
                </c:pt>
                <c:pt idx="15">
                  <c:v>49834008892</c:v>
                </c:pt>
                <c:pt idx="16">
                  <c:v>50157008919</c:v>
                </c:pt>
                <c:pt idx="17">
                  <c:v>50499008946</c:v>
                </c:pt>
                <c:pt idx="18">
                  <c:v>50860008973</c:v>
                </c:pt>
                <c:pt idx="19">
                  <c:v>51240009000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EF-4382-AC81-B62EDFCF6169}"/>
            </c:ext>
          </c:extLst>
        </c:ser>
        <c:ser>
          <c:idx val="2"/>
          <c:order val="2"/>
          <c:tx>
            <c:v>Zależność przypisań od długości tablicy dla d = 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'modded radix sort'!$Z$51:$Z$70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'modded radix sort'!$AB$51:$AB$70</c:f>
              <c:numCache>
                <c:formatCode>General</c:formatCode>
                <c:ptCount val="20"/>
                <c:pt idx="0">
                  <c:v>51253009042</c:v>
                </c:pt>
                <c:pt idx="1">
                  <c:v>51279009084</c:v>
                </c:pt>
                <c:pt idx="2">
                  <c:v>51318009126</c:v>
                </c:pt>
                <c:pt idx="3">
                  <c:v>51370009168</c:v>
                </c:pt>
                <c:pt idx="4">
                  <c:v>51435009210</c:v>
                </c:pt>
                <c:pt idx="5">
                  <c:v>51513009252</c:v>
                </c:pt>
                <c:pt idx="6">
                  <c:v>51604009294</c:v>
                </c:pt>
                <c:pt idx="7">
                  <c:v>51708009336</c:v>
                </c:pt>
                <c:pt idx="8">
                  <c:v>51825009378</c:v>
                </c:pt>
                <c:pt idx="9">
                  <c:v>51955009420</c:v>
                </c:pt>
                <c:pt idx="10">
                  <c:v>52098009462</c:v>
                </c:pt>
                <c:pt idx="11">
                  <c:v>52254009504</c:v>
                </c:pt>
                <c:pt idx="12">
                  <c:v>52423009546</c:v>
                </c:pt>
                <c:pt idx="13">
                  <c:v>52605009588</c:v>
                </c:pt>
                <c:pt idx="14">
                  <c:v>52800009630</c:v>
                </c:pt>
                <c:pt idx="15">
                  <c:v>53008009672</c:v>
                </c:pt>
                <c:pt idx="16">
                  <c:v>53229009714</c:v>
                </c:pt>
                <c:pt idx="17">
                  <c:v>53463009756</c:v>
                </c:pt>
                <c:pt idx="18">
                  <c:v>53710009798</c:v>
                </c:pt>
                <c:pt idx="19">
                  <c:v>53970009840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EF-4382-AC81-B62EDFCF6169}"/>
            </c:ext>
          </c:extLst>
        </c:ser>
        <c:ser>
          <c:idx val="3"/>
          <c:order val="3"/>
          <c:tx>
            <c:v>Zależność przypisań od długości tablicy dla d = 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'modded radix sort'!$Z$75:$Z$94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'modded radix sort'!$AB$75:$AB$94</c:f>
              <c:numCache>
                <c:formatCode>General</c:formatCode>
                <c:ptCount val="20"/>
                <c:pt idx="0">
                  <c:v>53983009894</c:v>
                </c:pt>
                <c:pt idx="1">
                  <c:v>54009009948</c:v>
                </c:pt>
                <c:pt idx="2">
                  <c:v>54048010002</c:v>
                </c:pt>
                <c:pt idx="3">
                  <c:v>54100010056</c:v>
                </c:pt>
                <c:pt idx="4">
                  <c:v>54165010110</c:v>
                </c:pt>
                <c:pt idx="5">
                  <c:v>54243010164</c:v>
                </c:pt>
                <c:pt idx="6">
                  <c:v>54334010218</c:v>
                </c:pt>
                <c:pt idx="7">
                  <c:v>54438010272</c:v>
                </c:pt>
                <c:pt idx="8">
                  <c:v>54555010326</c:v>
                </c:pt>
                <c:pt idx="9">
                  <c:v>54685010380</c:v>
                </c:pt>
                <c:pt idx="10">
                  <c:v>54828010434</c:v>
                </c:pt>
                <c:pt idx="11">
                  <c:v>54984010488</c:v>
                </c:pt>
                <c:pt idx="12">
                  <c:v>55153010542</c:v>
                </c:pt>
                <c:pt idx="13">
                  <c:v>55335010596</c:v>
                </c:pt>
                <c:pt idx="14">
                  <c:v>55530010650</c:v>
                </c:pt>
                <c:pt idx="15">
                  <c:v>55738010704</c:v>
                </c:pt>
                <c:pt idx="16">
                  <c:v>55959010758</c:v>
                </c:pt>
                <c:pt idx="17">
                  <c:v>56193010812</c:v>
                </c:pt>
                <c:pt idx="18">
                  <c:v>56440010866</c:v>
                </c:pt>
                <c:pt idx="19">
                  <c:v>56700010920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EF-4382-AC81-B62EDFCF6169}"/>
            </c:ext>
          </c:extLst>
        </c:ser>
        <c:ser>
          <c:idx val="4"/>
          <c:order val="4"/>
          <c:tx>
            <c:v>Zależność przypisań od długości tablicy dla d = 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'modded radix sort'!$Z$99:$Z$118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'modded radix sort'!$AB$99:$AB$118</c:f>
              <c:numCache>
                <c:formatCode>General</c:formatCode>
                <c:ptCount val="20"/>
                <c:pt idx="0">
                  <c:v>56709010980</c:v>
                </c:pt>
                <c:pt idx="1">
                  <c:v>56727011040</c:v>
                </c:pt>
                <c:pt idx="2">
                  <c:v>56754011100</c:v>
                </c:pt>
                <c:pt idx="3">
                  <c:v>56790011160</c:v>
                </c:pt>
                <c:pt idx="4">
                  <c:v>56835011220</c:v>
                </c:pt>
                <c:pt idx="5">
                  <c:v>56889011280</c:v>
                </c:pt>
                <c:pt idx="6">
                  <c:v>56952011340</c:v>
                </c:pt>
                <c:pt idx="7">
                  <c:v>57024011400</c:v>
                </c:pt>
                <c:pt idx="8">
                  <c:v>57105011460</c:v>
                </c:pt>
                <c:pt idx="9">
                  <c:v>57195011520</c:v>
                </c:pt>
                <c:pt idx="10">
                  <c:v>57294011580</c:v>
                </c:pt>
                <c:pt idx="11">
                  <c:v>57402011640</c:v>
                </c:pt>
                <c:pt idx="12">
                  <c:v>57519011700</c:v>
                </c:pt>
                <c:pt idx="13">
                  <c:v>57645011760</c:v>
                </c:pt>
                <c:pt idx="14">
                  <c:v>57780011820</c:v>
                </c:pt>
                <c:pt idx="15">
                  <c:v>57924011880</c:v>
                </c:pt>
                <c:pt idx="16">
                  <c:v>58077011940</c:v>
                </c:pt>
                <c:pt idx="17">
                  <c:v>58239012000</c:v>
                </c:pt>
                <c:pt idx="18">
                  <c:v>58410012060</c:v>
                </c:pt>
                <c:pt idx="19">
                  <c:v>58590012120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EF-4382-AC81-B62EDFCF6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  <c:max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Długość tablicy 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  <c:min val="3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przypisań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Zależność porównań od długości tablicy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80740740740741E-2"/>
          <c:y val="9.4285740740740739E-2"/>
          <c:w val="0.87721249999999995"/>
          <c:h val="0.59637833333333323"/>
        </c:manualLayout>
      </c:layout>
      <c:scatterChart>
        <c:scatterStyle val="lineMarker"/>
        <c:varyColors val="0"/>
        <c:ser>
          <c:idx val="0"/>
          <c:order val="0"/>
          <c:tx>
            <c:v>Zależność porównań od długości tablicy dla d =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'modded radix sort'!$Z$3:$Z$22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'modded radix sort'!$AC$3:$AC$22</c:f>
              <c:numCache>
                <c:formatCode>General</c:formatCode>
                <c:ptCount val="20"/>
                <c:pt idx="0">
                  <c:v>2849.6</c:v>
                </c:pt>
                <c:pt idx="1">
                  <c:v>2865.2</c:v>
                </c:pt>
                <c:pt idx="2">
                  <c:v>2880.2</c:v>
                </c:pt>
                <c:pt idx="3">
                  <c:v>2895.4</c:v>
                </c:pt>
                <c:pt idx="4">
                  <c:v>2908.4</c:v>
                </c:pt>
                <c:pt idx="5">
                  <c:v>2922.4</c:v>
                </c:pt>
                <c:pt idx="6">
                  <c:v>2937.4</c:v>
                </c:pt>
                <c:pt idx="7">
                  <c:v>2951.4</c:v>
                </c:pt>
                <c:pt idx="8">
                  <c:v>2965.2</c:v>
                </c:pt>
                <c:pt idx="9">
                  <c:v>2978.4</c:v>
                </c:pt>
                <c:pt idx="10">
                  <c:v>2991.8</c:v>
                </c:pt>
                <c:pt idx="11">
                  <c:v>3006.6</c:v>
                </c:pt>
                <c:pt idx="12">
                  <c:v>3020.6</c:v>
                </c:pt>
                <c:pt idx="13">
                  <c:v>3033.4</c:v>
                </c:pt>
                <c:pt idx="14">
                  <c:v>3048.2</c:v>
                </c:pt>
                <c:pt idx="15">
                  <c:v>3068</c:v>
                </c:pt>
                <c:pt idx="16">
                  <c:v>3085</c:v>
                </c:pt>
                <c:pt idx="17">
                  <c:v>3098.2</c:v>
                </c:pt>
                <c:pt idx="18">
                  <c:v>3112.2</c:v>
                </c:pt>
                <c:pt idx="19">
                  <c:v>3126.6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07-4513-A8AE-C940F031236A}"/>
            </c:ext>
          </c:extLst>
        </c:ser>
        <c:ser>
          <c:idx val="1"/>
          <c:order val="1"/>
          <c:tx>
            <c:v>Zależność porównań od długości tablicy dla d =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'modded radix sort'!$Z$27:$Z$46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'modded radix sort'!$AC$27:$AC$46</c:f>
              <c:numCache>
                <c:formatCode>General</c:formatCode>
                <c:ptCount val="20"/>
                <c:pt idx="0">
                  <c:v>3139</c:v>
                </c:pt>
                <c:pt idx="1">
                  <c:v>3152.8</c:v>
                </c:pt>
                <c:pt idx="2">
                  <c:v>3168.8</c:v>
                </c:pt>
                <c:pt idx="3">
                  <c:v>3182.6</c:v>
                </c:pt>
                <c:pt idx="4">
                  <c:v>3195</c:v>
                </c:pt>
                <c:pt idx="5">
                  <c:v>3210.2</c:v>
                </c:pt>
                <c:pt idx="6">
                  <c:v>3223.2</c:v>
                </c:pt>
                <c:pt idx="7">
                  <c:v>3240.8</c:v>
                </c:pt>
                <c:pt idx="8">
                  <c:v>3257</c:v>
                </c:pt>
                <c:pt idx="9">
                  <c:v>3270.8</c:v>
                </c:pt>
                <c:pt idx="10">
                  <c:v>3286.2</c:v>
                </c:pt>
                <c:pt idx="11">
                  <c:v>3304</c:v>
                </c:pt>
                <c:pt idx="12">
                  <c:v>3315.8</c:v>
                </c:pt>
                <c:pt idx="13">
                  <c:v>3327.4</c:v>
                </c:pt>
                <c:pt idx="14">
                  <c:v>3341.2</c:v>
                </c:pt>
                <c:pt idx="15">
                  <c:v>3353.8</c:v>
                </c:pt>
                <c:pt idx="16">
                  <c:v>3367.4</c:v>
                </c:pt>
                <c:pt idx="17">
                  <c:v>3379.8</c:v>
                </c:pt>
                <c:pt idx="18">
                  <c:v>3394.8</c:v>
                </c:pt>
                <c:pt idx="19">
                  <c:v>3410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B6-49AA-85E9-55C8B82E3F69}"/>
            </c:ext>
          </c:extLst>
        </c:ser>
        <c:ser>
          <c:idx val="2"/>
          <c:order val="2"/>
          <c:tx>
            <c:v>Zależność porównań od długości tablicy dla d = 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'modded radix sort'!$Z$51:$Z$70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'modded radix sort'!$AC$51:$AC$70</c:f>
              <c:numCache>
                <c:formatCode>General</c:formatCode>
                <c:ptCount val="20"/>
                <c:pt idx="0">
                  <c:v>3421.2</c:v>
                </c:pt>
                <c:pt idx="1">
                  <c:v>3435.8</c:v>
                </c:pt>
                <c:pt idx="2">
                  <c:v>3448.8</c:v>
                </c:pt>
                <c:pt idx="3">
                  <c:v>3461.6</c:v>
                </c:pt>
                <c:pt idx="4">
                  <c:v>3477</c:v>
                </c:pt>
                <c:pt idx="5">
                  <c:v>3492.2</c:v>
                </c:pt>
                <c:pt idx="6">
                  <c:v>3504.2</c:v>
                </c:pt>
                <c:pt idx="7">
                  <c:v>3515.4</c:v>
                </c:pt>
                <c:pt idx="8">
                  <c:v>3528.6</c:v>
                </c:pt>
                <c:pt idx="9">
                  <c:v>3541.6</c:v>
                </c:pt>
                <c:pt idx="10">
                  <c:v>3554.8</c:v>
                </c:pt>
                <c:pt idx="11">
                  <c:v>3569.8</c:v>
                </c:pt>
                <c:pt idx="12">
                  <c:v>3583.8</c:v>
                </c:pt>
                <c:pt idx="13">
                  <c:v>3599.2</c:v>
                </c:pt>
                <c:pt idx="14">
                  <c:v>3613.8</c:v>
                </c:pt>
                <c:pt idx="15">
                  <c:v>3627.4</c:v>
                </c:pt>
                <c:pt idx="16">
                  <c:v>3641</c:v>
                </c:pt>
                <c:pt idx="17">
                  <c:v>3654.8</c:v>
                </c:pt>
                <c:pt idx="18">
                  <c:v>3672.6</c:v>
                </c:pt>
                <c:pt idx="19">
                  <c:v>3687.8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B6-49AA-85E9-55C8B82E3F69}"/>
            </c:ext>
          </c:extLst>
        </c:ser>
        <c:ser>
          <c:idx val="3"/>
          <c:order val="3"/>
          <c:tx>
            <c:v>Zależność porównań od długości tablicy dla d = 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'modded radix sort'!$Z$75:$Z$94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'modded radix sort'!$AC$75:$AC$94</c:f>
              <c:numCache>
                <c:formatCode>General</c:formatCode>
                <c:ptCount val="20"/>
                <c:pt idx="0">
                  <c:v>3703.8</c:v>
                </c:pt>
                <c:pt idx="1">
                  <c:v>3719</c:v>
                </c:pt>
                <c:pt idx="2">
                  <c:v>3735.8</c:v>
                </c:pt>
                <c:pt idx="3">
                  <c:v>3750.8</c:v>
                </c:pt>
                <c:pt idx="4">
                  <c:v>3765.2</c:v>
                </c:pt>
                <c:pt idx="5">
                  <c:v>3778.2</c:v>
                </c:pt>
                <c:pt idx="6">
                  <c:v>3792.6</c:v>
                </c:pt>
                <c:pt idx="7">
                  <c:v>3806.4</c:v>
                </c:pt>
                <c:pt idx="8">
                  <c:v>3821.8</c:v>
                </c:pt>
                <c:pt idx="9">
                  <c:v>3841.4</c:v>
                </c:pt>
                <c:pt idx="10">
                  <c:v>3858.4</c:v>
                </c:pt>
                <c:pt idx="11">
                  <c:v>3872.6</c:v>
                </c:pt>
                <c:pt idx="12">
                  <c:v>3890.2</c:v>
                </c:pt>
                <c:pt idx="13">
                  <c:v>3901</c:v>
                </c:pt>
                <c:pt idx="14">
                  <c:v>3916.8</c:v>
                </c:pt>
                <c:pt idx="15">
                  <c:v>3931.8</c:v>
                </c:pt>
                <c:pt idx="16">
                  <c:v>3949.4</c:v>
                </c:pt>
                <c:pt idx="17">
                  <c:v>3967</c:v>
                </c:pt>
                <c:pt idx="18">
                  <c:v>3983.8</c:v>
                </c:pt>
                <c:pt idx="19">
                  <c:v>3998.6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B6-49AA-85E9-55C8B82E3F69}"/>
            </c:ext>
          </c:extLst>
        </c:ser>
        <c:ser>
          <c:idx val="4"/>
          <c:order val="4"/>
          <c:tx>
            <c:v>Zależność porównań od długości tablicy dla d = 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'modded radix sort'!$Z$99:$Z$118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'modded radix sort'!$AC$99:$AC$118</c:f>
              <c:numCache>
                <c:formatCode>General</c:formatCode>
                <c:ptCount val="20"/>
                <c:pt idx="0">
                  <c:v>4009.8</c:v>
                </c:pt>
                <c:pt idx="1">
                  <c:v>4025.8</c:v>
                </c:pt>
                <c:pt idx="2">
                  <c:v>4039.2</c:v>
                </c:pt>
                <c:pt idx="3">
                  <c:v>4050.4</c:v>
                </c:pt>
                <c:pt idx="4">
                  <c:v>4063.6</c:v>
                </c:pt>
                <c:pt idx="5">
                  <c:v>4078.4</c:v>
                </c:pt>
                <c:pt idx="6">
                  <c:v>4090.4</c:v>
                </c:pt>
                <c:pt idx="7">
                  <c:v>4103.6000000000004</c:v>
                </c:pt>
                <c:pt idx="8">
                  <c:v>4117</c:v>
                </c:pt>
                <c:pt idx="9">
                  <c:v>4128.8</c:v>
                </c:pt>
                <c:pt idx="10">
                  <c:v>4141.2</c:v>
                </c:pt>
                <c:pt idx="11">
                  <c:v>4152.3999999999996</c:v>
                </c:pt>
                <c:pt idx="12">
                  <c:v>4167.3999999999996</c:v>
                </c:pt>
                <c:pt idx="13">
                  <c:v>4177.3999999999996</c:v>
                </c:pt>
                <c:pt idx="14">
                  <c:v>4189.2</c:v>
                </c:pt>
                <c:pt idx="15">
                  <c:v>4203.2</c:v>
                </c:pt>
                <c:pt idx="16">
                  <c:v>4213.6000000000004</c:v>
                </c:pt>
                <c:pt idx="17">
                  <c:v>4224.6000000000004</c:v>
                </c:pt>
                <c:pt idx="18">
                  <c:v>4236.6000000000004</c:v>
                </c:pt>
                <c:pt idx="19">
                  <c:v>4249.8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B6-49AA-85E9-55C8B82E3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  <c:max val="1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Długość tablicy 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  <c:min val="27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czasu od długości tablicy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czasu od długości tablicy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0.11859636760836584"/>
                  <c:y val="0.169572437161744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'bucket sort'!$Z$3:$Z$22</c:f>
              <c:numCache>
                <c:formatCode>General</c:formatCode>
                <c:ptCount val="20"/>
                <c:pt idx="0">
                  <c:v>250000</c:v>
                </c:pt>
                <c:pt idx="1">
                  <c:v>500000</c:v>
                </c:pt>
                <c:pt idx="2">
                  <c:v>750000</c:v>
                </c:pt>
                <c:pt idx="3">
                  <c:v>1000000</c:v>
                </c:pt>
                <c:pt idx="4">
                  <c:v>1250000</c:v>
                </c:pt>
                <c:pt idx="5">
                  <c:v>1500000</c:v>
                </c:pt>
                <c:pt idx="6">
                  <c:v>1750000</c:v>
                </c:pt>
                <c:pt idx="7">
                  <c:v>2000000</c:v>
                </c:pt>
                <c:pt idx="8">
                  <c:v>2250000</c:v>
                </c:pt>
                <c:pt idx="9">
                  <c:v>2500000</c:v>
                </c:pt>
                <c:pt idx="10">
                  <c:v>2750000</c:v>
                </c:pt>
                <c:pt idx="11">
                  <c:v>3000000</c:v>
                </c:pt>
                <c:pt idx="12">
                  <c:v>3250000</c:v>
                </c:pt>
                <c:pt idx="13">
                  <c:v>3500000</c:v>
                </c:pt>
                <c:pt idx="14">
                  <c:v>3750000</c:v>
                </c:pt>
                <c:pt idx="15">
                  <c:v>4000000</c:v>
                </c:pt>
                <c:pt idx="16">
                  <c:v>4250000</c:v>
                </c:pt>
                <c:pt idx="17">
                  <c:v>4500000</c:v>
                </c:pt>
                <c:pt idx="18">
                  <c:v>4750000</c:v>
                </c:pt>
                <c:pt idx="19">
                  <c:v>5000000</c:v>
                </c:pt>
              </c:numCache>
            </c:numRef>
          </c:xVal>
          <c:yVal>
            <c:numRef>
              <c:f>'bucket sort'!$AA$3:$AA$22</c:f>
              <c:numCache>
                <c:formatCode>General</c:formatCode>
                <c:ptCount val="20"/>
                <c:pt idx="0">
                  <c:v>3343.8</c:v>
                </c:pt>
                <c:pt idx="1">
                  <c:v>11874.4</c:v>
                </c:pt>
                <c:pt idx="2">
                  <c:v>19289.599999999999</c:v>
                </c:pt>
                <c:pt idx="3">
                  <c:v>25524.400000000001</c:v>
                </c:pt>
                <c:pt idx="4">
                  <c:v>28589.8</c:v>
                </c:pt>
                <c:pt idx="5">
                  <c:v>29041</c:v>
                </c:pt>
                <c:pt idx="6">
                  <c:v>29208.6</c:v>
                </c:pt>
                <c:pt idx="7">
                  <c:v>30065.8</c:v>
                </c:pt>
                <c:pt idx="8">
                  <c:v>33146</c:v>
                </c:pt>
                <c:pt idx="9">
                  <c:v>36576</c:v>
                </c:pt>
                <c:pt idx="10">
                  <c:v>42786.400000000001</c:v>
                </c:pt>
                <c:pt idx="11">
                  <c:v>45416.800000000003</c:v>
                </c:pt>
                <c:pt idx="12">
                  <c:v>59851.4</c:v>
                </c:pt>
                <c:pt idx="13">
                  <c:v>76072</c:v>
                </c:pt>
                <c:pt idx="14">
                  <c:v>80709.600000000006</c:v>
                </c:pt>
                <c:pt idx="15">
                  <c:v>88169.2</c:v>
                </c:pt>
                <c:pt idx="16">
                  <c:v>96496.4</c:v>
                </c:pt>
                <c:pt idx="17">
                  <c:v>117290.6</c:v>
                </c:pt>
                <c:pt idx="18">
                  <c:v>127238.39999999999</c:v>
                </c:pt>
                <c:pt idx="19">
                  <c:v>135264.4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88-4845-AFFF-EAC17C1D6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aseline="0"/>
                  <a:t>Długość tablicy n</a:t>
                </a:r>
                <a:r>
                  <a:rPr lang="pl-PL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Czas</a:t>
                </a:r>
                <a:r>
                  <a:rPr lang="pl-PL" baseline="0"/>
                  <a:t> (ms)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Zależność przypisań od długości tablicy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przypisań od długości tablicy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0.13144865923863469"/>
                  <c:y val="0.133965289361635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'bucket sort'!$Z$3:$Z$22</c:f>
              <c:numCache>
                <c:formatCode>General</c:formatCode>
                <c:ptCount val="20"/>
                <c:pt idx="0">
                  <c:v>250000</c:v>
                </c:pt>
                <c:pt idx="1">
                  <c:v>500000</c:v>
                </c:pt>
                <c:pt idx="2">
                  <c:v>750000</c:v>
                </c:pt>
                <c:pt idx="3">
                  <c:v>1000000</c:v>
                </c:pt>
                <c:pt idx="4">
                  <c:v>1250000</c:v>
                </c:pt>
                <c:pt idx="5">
                  <c:v>1500000</c:v>
                </c:pt>
                <c:pt idx="6">
                  <c:v>1750000</c:v>
                </c:pt>
                <c:pt idx="7">
                  <c:v>2000000</c:v>
                </c:pt>
                <c:pt idx="8">
                  <c:v>2250000</c:v>
                </c:pt>
                <c:pt idx="9">
                  <c:v>2500000</c:v>
                </c:pt>
                <c:pt idx="10">
                  <c:v>2750000</c:v>
                </c:pt>
                <c:pt idx="11">
                  <c:v>3000000</c:v>
                </c:pt>
                <c:pt idx="12">
                  <c:v>3250000</c:v>
                </c:pt>
                <c:pt idx="13">
                  <c:v>3500000</c:v>
                </c:pt>
                <c:pt idx="14">
                  <c:v>3750000</c:v>
                </c:pt>
                <c:pt idx="15">
                  <c:v>4000000</c:v>
                </c:pt>
                <c:pt idx="16">
                  <c:v>4250000</c:v>
                </c:pt>
                <c:pt idx="17">
                  <c:v>4500000</c:v>
                </c:pt>
                <c:pt idx="18">
                  <c:v>4750000</c:v>
                </c:pt>
                <c:pt idx="19">
                  <c:v>5000000</c:v>
                </c:pt>
              </c:numCache>
            </c:numRef>
          </c:xVal>
          <c:yVal>
            <c:numRef>
              <c:f>'bucket sort'!$AB$3:$AB$22</c:f>
              <c:numCache>
                <c:formatCode>General</c:formatCode>
                <c:ptCount val="20"/>
                <c:pt idx="0">
                  <c:v>654021.6</c:v>
                </c:pt>
                <c:pt idx="1">
                  <c:v>1306167.3999999999</c:v>
                </c:pt>
                <c:pt idx="2">
                  <c:v>1957939.4</c:v>
                </c:pt>
                <c:pt idx="3">
                  <c:v>2608334.6</c:v>
                </c:pt>
                <c:pt idx="4">
                  <c:v>3257093.4</c:v>
                </c:pt>
                <c:pt idx="5">
                  <c:v>3905373.4</c:v>
                </c:pt>
                <c:pt idx="6">
                  <c:v>4551520.8</c:v>
                </c:pt>
                <c:pt idx="7">
                  <c:v>5197604.2</c:v>
                </c:pt>
                <c:pt idx="8">
                  <c:v>5842233</c:v>
                </c:pt>
                <c:pt idx="9">
                  <c:v>6485594</c:v>
                </c:pt>
                <c:pt idx="10">
                  <c:v>7125446.4000000004</c:v>
                </c:pt>
                <c:pt idx="11">
                  <c:v>7769901.5999999996</c:v>
                </c:pt>
                <c:pt idx="12">
                  <c:v>8406980</c:v>
                </c:pt>
                <c:pt idx="13">
                  <c:v>9047081.4000000004</c:v>
                </c:pt>
                <c:pt idx="14">
                  <c:v>9688710.8000000007</c:v>
                </c:pt>
                <c:pt idx="15">
                  <c:v>10321080</c:v>
                </c:pt>
                <c:pt idx="16">
                  <c:v>10949550.4</c:v>
                </c:pt>
                <c:pt idx="17">
                  <c:v>11595651.4</c:v>
                </c:pt>
                <c:pt idx="18">
                  <c:v>12232170</c:v>
                </c:pt>
                <c:pt idx="19">
                  <c:v>12865013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7E-4EA9-9D61-E666CE28E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Długość tablicy 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przypisań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Zależność porównań od długości tablicy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porównań od długości tablicy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0.11190616213777603"/>
                  <c:y val="0.161574951732813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'bucket sort'!$Z$3:$Z$22</c:f>
              <c:numCache>
                <c:formatCode>General</c:formatCode>
                <c:ptCount val="20"/>
                <c:pt idx="0">
                  <c:v>250000</c:v>
                </c:pt>
                <c:pt idx="1">
                  <c:v>500000</c:v>
                </c:pt>
                <c:pt idx="2">
                  <c:v>750000</c:v>
                </c:pt>
                <c:pt idx="3">
                  <c:v>1000000</c:v>
                </c:pt>
                <c:pt idx="4">
                  <c:v>1250000</c:v>
                </c:pt>
                <c:pt idx="5">
                  <c:v>1500000</c:v>
                </c:pt>
                <c:pt idx="6">
                  <c:v>1750000</c:v>
                </c:pt>
                <c:pt idx="7">
                  <c:v>2000000</c:v>
                </c:pt>
                <c:pt idx="8">
                  <c:v>2250000</c:v>
                </c:pt>
                <c:pt idx="9">
                  <c:v>2500000</c:v>
                </c:pt>
                <c:pt idx="10">
                  <c:v>2750000</c:v>
                </c:pt>
                <c:pt idx="11">
                  <c:v>3000000</c:v>
                </c:pt>
                <c:pt idx="12">
                  <c:v>3250000</c:v>
                </c:pt>
                <c:pt idx="13">
                  <c:v>3500000</c:v>
                </c:pt>
                <c:pt idx="14">
                  <c:v>3750000</c:v>
                </c:pt>
                <c:pt idx="15">
                  <c:v>4000000</c:v>
                </c:pt>
                <c:pt idx="16">
                  <c:v>4250000</c:v>
                </c:pt>
                <c:pt idx="17">
                  <c:v>4500000</c:v>
                </c:pt>
                <c:pt idx="18">
                  <c:v>4750000</c:v>
                </c:pt>
                <c:pt idx="19">
                  <c:v>5000000</c:v>
                </c:pt>
              </c:numCache>
            </c:numRef>
          </c:xVal>
          <c:yVal>
            <c:numRef>
              <c:f>'bucket sort'!$AC$3:$AC$22</c:f>
              <c:numCache>
                <c:formatCode>General</c:formatCode>
                <c:ptCount val="20"/>
                <c:pt idx="0">
                  <c:v>216036</c:v>
                </c:pt>
                <c:pt idx="1">
                  <c:v>428475</c:v>
                </c:pt>
                <c:pt idx="2">
                  <c:v>639897</c:v>
                </c:pt>
                <c:pt idx="3">
                  <c:v>848792.4</c:v>
                </c:pt>
                <c:pt idx="4">
                  <c:v>1054241.3999999999</c:v>
                </c:pt>
                <c:pt idx="5">
                  <c:v>1258608.3999999999</c:v>
                </c:pt>
                <c:pt idx="6">
                  <c:v>1458938.8</c:v>
                </c:pt>
                <c:pt idx="7">
                  <c:v>1658744</c:v>
                </c:pt>
                <c:pt idx="8">
                  <c:v>1855716.4</c:v>
                </c:pt>
                <c:pt idx="9">
                  <c:v>2050231</c:v>
                </c:pt>
                <c:pt idx="10">
                  <c:v>2238508</c:v>
                </c:pt>
                <c:pt idx="11">
                  <c:v>2433601.6</c:v>
                </c:pt>
                <c:pt idx="12">
                  <c:v>2616693</c:v>
                </c:pt>
                <c:pt idx="13">
                  <c:v>2803893.4</c:v>
                </c:pt>
                <c:pt idx="14">
                  <c:v>2993035</c:v>
                </c:pt>
                <c:pt idx="15">
                  <c:v>3167036.8</c:v>
                </c:pt>
                <c:pt idx="16">
                  <c:v>3334106.8</c:v>
                </c:pt>
                <c:pt idx="17">
                  <c:v>3528877</c:v>
                </c:pt>
                <c:pt idx="18">
                  <c:v>3707850</c:v>
                </c:pt>
                <c:pt idx="19">
                  <c:v>3880375.2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0B-4DF0-A610-186E785C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Długość tablicy 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czasu od długości tablicy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czasu od długości tablicy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0.11859636760836584"/>
                  <c:y val="0.169572437161744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'modded bucket sort'!$Z$3:$Z$22</c:f>
              <c:numCache>
                <c:formatCode>General</c:formatCode>
                <c:ptCount val="20"/>
                <c:pt idx="0">
                  <c:v>250000</c:v>
                </c:pt>
                <c:pt idx="1">
                  <c:v>500000</c:v>
                </c:pt>
                <c:pt idx="2">
                  <c:v>750000</c:v>
                </c:pt>
                <c:pt idx="3">
                  <c:v>1000000</c:v>
                </c:pt>
                <c:pt idx="4">
                  <c:v>1250000</c:v>
                </c:pt>
                <c:pt idx="5">
                  <c:v>1500000</c:v>
                </c:pt>
                <c:pt idx="6">
                  <c:v>1750000</c:v>
                </c:pt>
                <c:pt idx="7">
                  <c:v>2000000</c:v>
                </c:pt>
                <c:pt idx="8">
                  <c:v>2250000</c:v>
                </c:pt>
                <c:pt idx="9">
                  <c:v>2500000</c:v>
                </c:pt>
                <c:pt idx="10">
                  <c:v>2750000</c:v>
                </c:pt>
                <c:pt idx="11">
                  <c:v>3000000</c:v>
                </c:pt>
                <c:pt idx="12">
                  <c:v>3250000</c:v>
                </c:pt>
                <c:pt idx="13">
                  <c:v>3500000</c:v>
                </c:pt>
                <c:pt idx="14">
                  <c:v>3750000</c:v>
                </c:pt>
                <c:pt idx="15">
                  <c:v>4000000</c:v>
                </c:pt>
                <c:pt idx="16">
                  <c:v>4250000</c:v>
                </c:pt>
                <c:pt idx="17">
                  <c:v>4500000</c:v>
                </c:pt>
                <c:pt idx="18">
                  <c:v>4750000</c:v>
                </c:pt>
                <c:pt idx="19">
                  <c:v>5000000</c:v>
                </c:pt>
              </c:numCache>
            </c:numRef>
          </c:xVal>
          <c:yVal>
            <c:numRef>
              <c:f>'modded bucket sort'!$AA$3:$AA$22</c:f>
              <c:numCache>
                <c:formatCode>General</c:formatCode>
                <c:ptCount val="20"/>
                <c:pt idx="0">
                  <c:v>3986.6</c:v>
                </c:pt>
                <c:pt idx="1">
                  <c:v>12433.2</c:v>
                </c:pt>
                <c:pt idx="2">
                  <c:v>22515.4</c:v>
                </c:pt>
                <c:pt idx="3">
                  <c:v>27340</c:v>
                </c:pt>
                <c:pt idx="4">
                  <c:v>30720.799999999999</c:v>
                </c:pt>
                <c:pt idx="5">
                  <c:v>28605</c:v>
                </c:pt>
                <c:pt idx="6">
                  <c:v>31448.400000000001</c:v>
                </c:pt>
                <c:pt idx="7">
                  <c:v>34627.199999999997</c:v>
                </c:pt>
                <c:pt idx="8">
                  <c:v>37580</c:v>
                </c:pt>
                <c:pt idx="9">
                  <c:v>42309.2</c:v>
                </c:pt>
                <c:pt idx="10">
                  <c:v>47910.2</c:v>
                </c:pt>
                <c:pt idx="11">
                  <c:v>56363.4</c:v>
                </c:pt>
                <c:pt idx="12">
                  <c:v>64745.4</c:v>
                </c:pt>
                <c:pt idx="13">
                  <c:v>77703.8</c:v>
                </c:pt>
                <c:pt idx="14">
                  <c:v>81433.8</c:v>
                </c:pt>
                <c:pt idx="15">
                  <c:v>84816</c:v>
                </c:pt>
                <c:pt idx="16">
                  <c:v>82856</c:v>
                </c:pt>
                <c:pt idx="17">
                  <c:v>96519</c:v>
                </c:pt>
                <c:pt idx="18">
                  <c:v>116754.6</c:v>
                </c:pt>
                <c:pt idx="19">
                  <c:v>125870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BC-4D81-B83B-D0CD60EF6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aseline="0"/>
                  <a:t>Długość tablicy n</a:t>
                </a:r>
                <a:r>
                  <a:rPr lang="pl-PL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Czas</a:t>
                </a:r>
                <a:r>
                  <a:rPr lang="pl-PL" baseline="0"/>
                  <a:t> (ms)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Zależność przypisań od długości tablicy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przypisań od długości tablicy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479469132898389"/>
                  <c:y val="0.180655934523861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'modded bucket sort'!$Z$3:$Z$22</c:f>
              <c:numCache>
                <c:formatCode>General</c:formatCode>
                <c:ptCount val="20"/>
                <c:pt idx="0">
                  <c:v>250000</c:v>
                </c:pt>
                <c:pt idx="1">
                  <c:v>500000</c:v>
                </c:pt>
                <c:pt idx="2">
                  <c:v>750000</c:v>
                </c:pt>
                <c:pt idx="3">
                  <c:v>1000000</c:v>
                </c:pt>
                <c:pt idx="4">
                  <c:v>1250000</c:v>
                </c:pt>
                <c:pt idx="5">
                  <c:v>1500000</c:v>
                </c:pt>
                <c:pt idx="6">
                  <c:v>1750000</c:v>
                </c:pt>
                <c:pt idx="7">
                  <c:v>2000000</c:v>
                </c:pt>
                <c:pt idx="8">
                  <c:v>2250000</c:v>
                </c:pt>
                <c:pt idx="9">
                  <c:v>2500000</c:v>
                </c:pt>
                <c:pt idx="10">
                  <c:v>2750000</c:v>
                </c:pt>
                <c:pt idx="11">
                  <c:v>3000000</c:v>
                </c:pt>
                <c:pt idx="12">
                  <c:v>3250000</c:v>
                </c:pt>
                <c:pt idx="13">
                  <c:v>3500000</c:v>
                </c:pt>
                <c:pt idx="14">
                  <c:v>3750000</c:v>
                </c:pt>
                <c:pt idx="15">
                  <c:v>4000000</c:v>
                </c:pt>
                <c:pt idx="16">
                  <c:v>4250000</c:v>
                </c:pt>
                <c:pt idx="17">
                  <c:v>4500000</c:v>
                </c:pt>
                <c:pt idx="18">
                  <c:v>4750000</c:v>
                </c:pt>
                <c:pt idx="19">
                  <c:v>5000000</c:v>
                </c:pt>
              </c:numCache>
            </c:numRef>
          </c:xVal>
          <c:yVal>
            <c:numRef>
              <c:f>'modded bucket sort'!$AB$3:$AB$22</c:f>
              <c:numCache>
                <c:formatCode>General</c:formatCode>
                <c:ptCount val="20"/>
                <c:pt idx="0">
                  <c:v>654034.6</c:v>
                </c:pt>
                <c:pt idx="1">
                  <c:v>1306402.3999999999</c:v>
                </c:pt>
                <c:pt idx="2">
                  <c:v>1957231.6</c:v>
                </c:pt>
                <c:pt idx="3">
                  <c:v>2607380.2000000002</c:v>
                </c:pt>
                <c:pt idx="4">
                  <c:v>3256741</c:v>
                </c:pt>
                <c:pt idx="5">
                  <c:v>3904534.8</c:v>
                </c:pt>
                <c:pt idx="6">
                  <c:v>4550662.8</c:v>
                </c:pt>
                <c:pt idx="7">
                  <c:v>5197725</c:v>
                </c:pt>
                <c:pt idx="8">
                  <c:v>5842907.2000000002</c:v>
                </c:pt>
                <c:pt idx="9">
                  <c:v>6486278.7999999998</c:v>
                </c:pt>
                <c:pt idx="10">
                  <c:v>7126274.2000000002</c:v>
                </c:pt>
                <c:pt idx="11">
                  <c:v>7771223.7999999998</c:v>
                </c:pt>
                <c:pt idx="12">
                  <c:v>8409642.1999999993</c:v>
                </c:pt>
                <c:pt idx="13">
                  <c:v>9050507.4000000004</c:v>
                </c:pt>
                <c:pt idx="14">
                  <c:v>9691687.8000000007</c:v>
                </c:pt>
                <c:pt idx="15">
                  <c:v>10326841.800000001</c:v>
                </c:pt>
                <c:pt idx="16">
                  <c:v>10956319</c:v>
                </c:pt>
                <c:pt idx="17">
                  <c:v>11602460.4</c:v>
                </c:pt>
                <c:pt idx="18">
                  <c:v>12240925.800000001</c:v>
                </c:pt>
                <c:pt idx="19">
                  <c:v>12876031.4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2D-4EE7-8F62-DC7B45D0E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Długość tablicy 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przypisań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Zależność porównań od długości tablicy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porównań od długości tablicy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190616213777603"/>
                  <c:y val="0.161574951732813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'modded bucket sort'!$Z$3:$Z$22</c:f>
              <c:numCache>
                <c:formatCode>General</c:formatCode>
                <c:ptCount val="20"/>
                <c:pt idx="0">
                  <c:v>250000</c:v>
                </c:pt>
                <c:pt idx="1">
                  <c:v>500000</c:v>
                </c:pt>
                <c:pt idx="2">
                  <c:v>750000</c:v>
                </c:pt>
                <c:pt idx="3">
                  <c:v>1000000</c:v>
                </c:pt>
                <c:pt idx="4">
                  <c:v>1250000</c:v>
                </c:pt>
                <c:pt idx="5">
                  <c:v>1500000</c:v>
                </c:pt>
                <c:pt idx="6">
                  <c:v>1750000</c:v>
                </c:pt>
                <c:pt idx="7">
                  <c:v>2000000</c:v>
                </c:pt>
                <c:pt idx="8">
                  <c:v>2250000</c:v>
                </c:pt>
                <c:pt idx="9">
                  <c:v>2500000</c:v>
                </c:pt>
                <c:pt idx="10">
                  <c:v>2750000</c:v>
                </c:pt>
                <c:pt idx="11">
                  <c:v>3000000</c:v>
                </c:pt>
                <c:pt idx="12">
                  <c:v>3250000</c:v>
                </c:pt>
                <c:pt idx="13">
                  <c:v>3500000</c:v>
                </c:pt>
                <c:pt idx="14">
                  <c:v>3750000</c:v>
                </c:pt>
                <c:pt idx="15">
                  <c:v>4000000</c:v>
                </c:pt>
                <c:pt idx="16">
                  <c:v>4250000</c:v>
                </c:pt>
                <c:pt idx="17">
                  <c:v>4500000</c:v>
                </c:pt>
                <c:pt idx="18">
                  <c:v>4750000</c:v>
                </c:pt>
                <c:pt idx="19">
                  <c:v>5000000</c:v>
                </c:pt>
              </c:numCache>
            </c:numRef>
          </c:xVal>
          <c:yVal>
            <c:numRef>
              <c:f>'modded bucket sort'!$AC$3:$AC$22</c:f>
              <c:numCache>
                <c:formatCode>General</c:formatCode>
                <c:ptCount val="20"/>
                <c:pt idx="0">
                  <c:v>373986.4</c:v>
                </c:pt>
                <c:pt idx="1">
                  <c:v>744835.8</c:v>
                </c:pt>
                <c:pt idx="2">
                  <c:v>1112618.6000000001</c:v>
                </c:pt>
                <c:pt idx="3">
                  <c:v>1478608.6</c:v>
                </c:pt>
                <c:pt idx="4">
                  <c:v>1842726.8</c:v>
                </c:pt>
                <c:pt idx="5">
                  <c:v>2203725.2000000002</c:v>
                </c:pt>
                <c:pt idx="6">
                  <c:v>2561545</c:v>
                </c:pt>
                <c:pt idx="7">
                  <c:v>2919342.6</c:v>
                </c:pt>
                <c:pt idx="8">
                  <c:v>3274322.8</c:v>
                </c:pt>
                <c:pt idx="9">
                  <c:v>3625474</c:v>
                </c:pt>
                <c:pt idx="10">
                  <c:v>3972000.6</c:v>
                </c:pt>
                <c:pt idx="11">
                  <c:v>4322689.4000000004</c:v>
                </c:pt>
                <c:pt idx="12">
                  <c:v>4664855.4000000004</c:v>
                </c:pt>
                <c:pt idx="13">
                  <c:v>5009000.2</c:v>
                </c:pt>
                <c:pt idx="14">
                  <c:v>5352374.4000000004</c:v>
                </c:pt>
                <c:pt idx="15">
                  <c:v>5686785</c:v>
                </c:pt>
                <c:pt idx="16">
                  <c:v>6013285.2000000002</c:v>
                </c:pt>
                <c:pt idx="17">
                  <c:v>6359261.5999999996</c:v>
                </c:pt>
                <c:pt idx="18">
                  <c:v>6694921.4000000004</c:v>
                </c:pt>
                <c:pt idx="19">
                  <c:v>7024906.4000000004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0C-4797-8D98-37990A43F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919599"/>
        <c:axId val="1112922479"/>
      </c:scatterChart>
      <c:valAx>
        <c:axId val="111291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Długość tablicy 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22479"/>
        <c:crosses val="autoZero"/>
        <c:crossBetween val="midCat"/>
      </c:valAx>
      <c:valAx>
        <c:axId val="11129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porównań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291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6440</xdr:rowOff>
    </xdr:from>
    <xdr:to>
      <xdr:col>7</xdr:col>
      <xdr:colOff>476249</xdr:colOff>
      <xdr:row>43</xdr:row>
      <xdr:rowOff>158749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8D6129-7D6D-4C6E-A6CA-F9FB92969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110864</xdr:rowOff>
    </xdr:from>
    <xdr:to>
      <xdr:col>7</xdr:col>
      <xdr:colOff>476249</xdr:colOff>
      <xdr:row>63</xdr:row>
      <xdr:rowOff>158749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052D2B-F4C5-4CE7-B0B4-CB5523946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64</xdr:row>
      <xdr:rowOff>70235</xdr:rowOff>
    </xdr:from>
    <xdr:to>
      <xdr:col>7</xdr:col>
      <xdr:colOff>497417</xdr:colOff>
      <xdr:row>83</xdr:row>
      <xdr:rowOff>116417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B43850-91F4-43B2-8563-CD7BB9D6F4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6154</xdr:colOff>
      <xdr:row>23</xdr:row>
      <xdr:rowOff>187701</xdr:rowOff>
    </xdr:from>
    <xdr:to>
      <xdr:col>7</xdr:col>
      <xdr:colOff>314122</xdr:colOff>
      <xdr:row>42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17AC9-F678-4B8D-B5DB-238D03D33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42</xdr:row>
      <xdr:rowOff>148131</xdr:rowOff>
    </xdr:from>
    <xdr:to>
      <xdr:col>7</xdr:col>
      <xdr:colOff>328397</xdr:colOff>
      <xdr:row>60</xdr:row>
      <xdr:rowOff>141862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404FD1-70F5-4929-A89A-A6D65E290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61</xdr:row>
      <xdr:rowOff>153675</xdr:rowOff>
    </xdr:from>
    <xdr:to>
      <xdr:col>7</xdr:col>
      <xdr:colOff>344521</xdr:colOff>
      <xdr:row>79</xdr:row>
      <xdr:rowOff>162128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53D5FF-ACF8-4FC0-AC9C-15743D2FC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19438</xdr:colOff>
      <xdr:row>0</xdr:row>
      <xdr:rowOff>120315</xdr:rowOff>
    </xdr:from>
    <xdr:to>
      <xdr:col>44</xdr:col>
      <xdr:colOff>86938</xdr:colOff>
      <xdr:row>28</xdr:row>
      <xdr:rowOff>77458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6D8FAC-CE5C-404B-BEDD-19D9ACEEB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609963</xdr:colOff>
      <xdr:row>30</xdr:row>
      <xdr:rowOff>38581</xdr:rowOff>
    </xdr:from>
    <xdr:to>
      <xdr:col>44</xdr:col>
      <xdr:colOff>65142</xdr:colOff>
      <xdr:row>57</xdr:row>
      <xdr:rowOff>190112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768C47-597F-4E64-A9FE-7BE47730A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608456</xdr:colOff>
      <xdr:row>58</xdr:row>
      <xdr:rowOff>77903</xdr:rowOff>
    </xdr:from>
    <xdr:to>
      <xdr:col>44</xdr:col>
      <xdr:colOff>63635</xdr:colOff>
      <xdr:row>86</xdr:row>
      <xdr:rowOff>35046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0884C9-CC4C-46B7-ABAB-6101CF73B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60159</xdr:colOff>
      <xdr:row>0</xdr:row>
      <xdr:rowOff>120315</xdr:rowOff>
    </xdr:from>
    <xdr:to>
      <xdr:col>44</xdr:col>
      <xdr:colOff>116710</xdr:colOff>
      <xdr:row>29</xdr:row>
      <xdr:rowOff>122815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C955C7-0C72-48E9-A930-9CF577B09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8485</xdr:colOff>
      <xdr:row>31</xdr:row>
      <xdr:rowOff>95287</xdr:rowOff>
    </xdr:from>
    <xdr:to>
      <xdr:col>44</xdr:col>
      <xdr:colOff>192144</xdr:colOff>
      <xdr:row>60</xdr:row>
      <xdr:rowOff>105530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EA200A-D58D-4E35-B237-FB91DC12A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583624</xdr:colOff>
      <xdr:row>61</xdr:row>
      <xdr:rowOff>144439</xdr:rowOff>
    </xdr:from>
    <xdr:to>
      <xdr:col>44</xdr:col>
      <xdr:colOff>163258</xdr:colOff>
      <xdr:row>90</xdr:row>
      <xdr:rowOff>154683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C3855F-3074-47E5-BE8B-0BDDFF944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6</xdr:col>
      <xdr:colOff>603565</xdr:colOff>
      <xdr:row>42</xdr:row>
      <xdr:rowOff>9431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CEA550-6AC1-47CB-BBCC-CDFDE2D26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42</xdr:row>
      <xdr:rowOff>161830</xdr:rowOff>
    </xdr:from>
    <xdr:to>
      <xdr:col>7</xdr:col>
      <xdr:colOff>0</xdr:colOff>
      <xdr:row>60</xdr:row>
      <xdr:rowOff>141083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2D2811-3A5E-4D09-AC52-51A0F7D4E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61</xdr:row>
      <xdr:rowOff>36307</xdr:rowOff>
    </xdr:from>
    <xdr:to>
      <xdr:col>6</xdr:col>
      <xdr:colOff>609599</xdr:colOff>
      <xdr:row>79</xdr:row>
      <xdr:rowOff>36308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72DBE1-A72C-43A5-A864-65F0F6450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191125</xdr:rowOff>
    </xdr:from>
    <xdr:to>
      <xdr:col>6</xdr:col>
      <xdr:colOff>8819</xdr:colOff>
      <xdr:row>41</xdr:row>
      <xdr:rowOff>8819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5FF040-1F77-4BE8-8FB3-E62983208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162881</xdr:rowOff>
    </xdr:from>
    <xdr:to>
      <xdr:col>5</xdr:col>
      <xdr:colOff>1058332</xdr:colOff>
      <xdr:row>58</xdr:row>
      <xdr:rowOff>149930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3C65B2-E164-4486-8E50-585FD25D5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12058</xdr:colOff>
      <xdr:row>59</xdr:row>
      <xdr:rowOff>59393</xdr:rowOff>
    </xdr:from>
    <xdr:to>
      <xdr:col>5</xdr:col>
      <xdr:colOff>1049513</xdr:colOff>
      <xdr:row>76</xdr:row>
      <xdr:rowOff>44097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C75FFC-B728-4D5C-A655-6C04ACE05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EFE4D4-EC4E-4CA0-BF2A-8AD6F8CDD4F9}" name="Table16" displayName="Table16" ref="A2:D22" totalsRowShown="0">
  <autoFilter ref="A2:D22" xr:uid="{56EFE4D4-EC4E-4CA0-BF2A-8AD6F8CDD4F9}"/>
  <tableColumns count="4">
    <tableColumn id="1" xr3:uid="{43F9436F-4552-42E0-8042-596DDFB89DFB}" name="Długość tablicy n"/>
    <tableColumn id="2" xr3:uid="{C3F18299-4767-45F0-A20C-A6839F45EF8B}" name="Czas (ms)"/>
    <tableColumn id="3" xr3:uid="{107CA9F1-AD14-4A6F-A369-EBC83A35EC60}" name="Przypisania"/>
    <tableColumn id="4" xr3:uid="{57116ACD-F5A4-4B99-B2A5-A211836D5C63}" name="Porównan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DB4FE2-4D0E-4CD5-9E53-8470D6F4C008}" name="Table169" displayName="Table169" ref="F2:I22" totalsRowShown="0">
  <autoFilter ref="F2:I22" xr:uid="{41DB4FE2-4D0E-4CD5-9E53-8470D6F4C008}"/>
  <tableColumns count="4">
    <tableColumn id="1" xr3:uid="{34989DCB-E68B-4D12-86BC-5BB8964BC42E}" name="Długość tablicy n"/>
    <tableColumn id="2" xr3:uid="{AE5D8591-CA0F-4E0F-B99F-2EAF704CD683}" name="Czas (ms)"/>
    <tableColumn id="3" xr3:uid="{E7AFD8C9-384E-4D93-B65B-87C48A333BBE}" name="Przypisania"/>
    <tableColumn id="4" xr3:uid="{43E401F0-8A4B-4E1A-BDD2-0D842A859331}" name="Porównan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913861-A085-462B-A572-344EEEFB0BCF}" name="Table1610" displayName="Table1610" ref="K2:N22" totalsRowShown="0">
  <autoFilter ref="K2:N22" xr:uid="{E3913861-A085-462B-A572-344EEEFB0BCF}"/>
  <tableColumns count="4">
    <tableColumn id="1" xr3:uid="{9FBA7372-6394-4B30-A8BB-A31CE91C43FB}" name="Długość tablicy n"/>
    <tableColumn id="2" xr3:uid="{A5C34B1F-67DF-4D8F-97DB-FE1DE91BB706}" name="Czas (ms)"/>
    <tableColumn id="3" xr3:uid="{06181EEE-1688-41FD-A04E-F9927EBC90AE}" name="Przypisania"/>
    <tableColumn id="4" xr3:uid="{3A641517-78B0-4987-AFD6-526797EA3B7F}" name="Porównan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448A04-2038-4146-892D-5465A8194C8D}" name="Table1611" displayName="Table1611" ref="P2:S22" totalsRowShown="0">
  <autoFilter ref="P2:S22" xr:uid="{03448A04-2038-4146-892D-5465A8194C8D}"/>
  <tableColumns count="4">
    <tableColumn id="1" xr3:uid="{136436D6-6100-4E28-A8A8-6EC5163F1B51}" name="Długość tablicy n"/>
    <tableColumn id="2" xr3:uid="{AF19CB4E-F0C8-4743-9003-81C33D91BDC7}" name="Czas (ms)"/>
    <tableColumn id="3" xr3:uid="{AEAEE439-F95E-478A-827A-FD5DB00AD7AB}" name="Przypisania"/>
    <tableColumn id="4" xr3:uid="{B7D9A4EE-6454-4069-9B00-C4A77F14BCE0}" name="Porównan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7D2DF2E-B2E0-40CE-877D-D668E363802B}" name="Table1612" displayName="Table1612" ref="U2:X22" totalsRowShown="0">
  <autoFilter ref="U2:X22" xr:uid="{B7D2DF2E-B2E0-40CE-877D-D668E363802B}"/>
  <tableColumns count="4">
    <tableColumn id="1" xr3:uid="{06BAE866-310C-4FBD-ACB2-13BE45AD22D6}" name="Długość tablicy n"/>
    <tableColumn id="2" xr3:uid="{3E49675F-A6D9-4653-95E8-5D21AE3F20B1}" name="Czas (ms)"/>
    <tableColumn id="3" xr3:uid="{75C93CFB-DB0A-4E14-B212-91600BF57440}" name="Przypisania"/>
    <tableColumn id="4" xr3:uid="{F2A8FC3D-05A9-4832-9706-5C0DFB2C0F0C}" name="Porównan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D878B2C-0D98-4E94-BCB3-9481A11B7266}" name="Table161213" displayName="Table161213" ref="Z2:AC22" totalsRowShown="0">
  <autoFilter ref="Z2:AC22" xr:uid="{9D878B2C-0D98-4E94-BCB3-9481A11B7266}"/>
  <tableColumns count="4">
    <tableColumn id="1" xr3:uid="{A971215F-C138-4020-B258-D8C4286FA31A}" name="Długość tablicy n"/>
    <tableColumn id="2" xr3:uid="{B2A49BBC-5907-4D38-841F-BC834CB9AAA5}" name="Czas (ms)" dataDxfId="164">
      <calculatedColumnFormula>AVERAGE(B3,G3,L3,Q3,V3)</calculatedColumnFormula>
    </tableColumn>
    <tableColumn id="3" xr3:uid="{1E1BA9D7-3E97-4D4E-9D35-D6DA25F0198D}" name="Przypisania" dataDxfId="163">
      <calculatedColumnFormula>AVERAGE(C3,H3,M3,R3,W3)</calculatedColumnFormula>
    </tableColumn>
    <tableColumn id="4" xr3:uid="{3C01538C-04D7-41EA-B631-F9C4E1D16EEB}" name="Porównania" dataDxfId="162">
      <calculatedColumnFormula>AVERAGE(D3,I3,N3,S3,X3)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9AF2AA7-ECBD-4E26-88C4-79E99B8B6253}" name="Table161432" displayName="Table161432" ref="A2:D22" totalsRowShown="0">
  <autoFilter ref="A2:D22" xr:uid="{A9AF2AA7-ECBD-4E26-88C4-79E99B8B6253}"/>
  <tableColumns count="4">
    <tableColumn id="1" xr3:uid="{C81D881B-8DA6-4EDA-BF17-53F76AD0004F}" name="Długość tablicy n"/>
    <tableColumn id="2" xr3:uid="{9E6740D2-5573-42C1-94DB-0C950F5878F7}" name="Czas (ms)"/>
    <tableColumn id="3" xr3:uid="{211EF1C4-545F-4BA9-93D9-FEAB14AD4EE0}" name="Przypisania"/>
    <tableColumn id="4" xr3:uid="{681C09C9-1FDD-42A5-ABF9-CAF5786DCF02}" name="Porównan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6F37520-D043-43EA-A15D-A3D778D8B79B}" name="Table1691533" displayName="Table1691533" ref="F2:I22" totalsRowShown="0">
  <autoFilter ref="F2:I22" xr:uid="{A6F37520-D043-43EA-A15D-A3D778D8B79B}"/>
  <tableColumns count="4">
    <tableColumn id="1" xr3:uid="{AB5479B4-EF3A-48B8-9F66-336EBD1F66A4}" name="Długość tablicy n"/>
    <tableColumn id="2" xr3:uid="{A44C8DAB-BEC9-48CA-BA03-E17A4BC7597A}" name="Czas (ms)"/>
    <tableColumn id="3" xr3:uid="{B3C4EA1A-7A16-4D40-BB7F-4E471AF861C2}" name="Przypisania"/>
    <tableColumn id="4" xr3:uid="{1A89ACCF-63AA-4638-8810-AD0418C3D57C}" name="Porównani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E9ED5D4-6427-4380-BE30-4B03D975453A}" name="Table16101634" displayName="Table16101634" ref="K2:N22" totalsRowShown="0">
  <autoFilter ref="K2:N22" xr:uid="{CE9ED5D4-6427-4380-BE30-4B03D975453A}"/>
  <tableColumns count="4">
    <tableColumn id="1" xr3:uid="{D6EDA859-0393-4CD8-98C7-0F4226C25F62}" name="Długość tablicy n"/>
    <tableColumn id="2" xr3:uid="{CEBD20E2-7B8A-47E1-A7E6-AE3DCDC0C87A}" name="Czas (ms)"/>
    <tableColumn id="3" xr3:uid="{F1DDE20D-CE21-420F-83A2-2C3CCC58F54C}" name="Przypisania"/>
    <tableColumn id="4" xr3:uid="{40AA6765-8D88-4B50-BABC-553D83DE8443}" name="Porównani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82AA0A9-693D-41B6-8F7B-51AD56C25E4B}" name="Table16111735" displayName="Table16111735" ref="P2:S22" totalsRowShown="0">
  <autoFilter ref="P2:S22" xr:uid="{982AA0A9-693D-41B6-8F7B-51AD56C25E4B}"/>
  <tableColumns count="4">
    <tableColumn id="1" xr3:uid="{CADF4528-2425-45B2-ACEA-34A7B7AB380E}" name="Długość tablicy n"/>
    <tableColumn id="2" xr3:uid="{03550879-B9C4-4406-8BD8-F2CB352E6A51}" name="Czas (ms)"/>
    <tableColumn id="3" xr3:uid="{58FFF2F1-9B66-40FB-A691-EEE0152FAC57}" name="Przypisania"/>
    <tableColumn id="4" xr3:uid="{912160C5-36A2-474F-9EF7-455061352E2B}" name="Porównani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1BE8C116-5C83-429B-880F-8B819C8B2D3D}" name="Table16121836" displayName="Table16121836" ref="U2:X22" totalsRowShown="0">
  <autoFilter ref="U2:X22" xr:uid="{1BE8C116-5C83-429B-880F-8B819C8B2D3D}"/>
  <tableColumns count="4">
    <tableColumn id="1" xr3:uid="{2849BC3E-6777-45AB-9974-3304CFBDEF45}" name="Długość tablicy n"/>
    <tableColumn id="2" xr3:uid="{A2234FC8-C38A-46BB-974C-749F4CFC53DF}" name="Czas (ms)"/>
    <tableColumn id="3" xr3:uid="{4204B535-720A-4C10-B98A-A5B09147F329}" name="Przypisania"/>
    <tableColumn id="4" xr3:uid="{AFBD3065-6F17-46A7-B789-0831E35EEDD9}" name="Porównani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703F873-7FB8-4C67-8BB5-6E747ED4A682}" name="Table1612131937" displayName="Table1612131937" ref="Z2:AC22" totalsRowShown="0">
  <autoFilter ref="Z2:AC22" xr:uid="{B703F873-7FB8-4C67-8BB5-6E747ED4A682}"/>
  <tableColumns count="4">
    <tableColumn id="1" xr3:uid="{24076C48-649C-42AA-96A6-57F5616F99C4}" name="Długość tablicy n"/>
    <tableColumn id="2" xr3:uid="{E4B832DE-B26A-4E21-9C04-3DF0BF46B995}" name="Czas (ms)" dataDxfId="161">
      <calculatedColumnFormula>AVERAGE(B3,G3,L3,Q3,V3)</calculatedColumnFormula>
    </tableColumn>
    <tableColumn id="3" xr3:uid="{0DF792BD-A3CF-4972-AD66-262439941EB9}" name="Przypisania" dataDxfId="160">
      <calculatedColumnFormula>AVERAGE(C3,H3,M3,R3,W3)</calculatedColumnFormula>
    </tableColumn>
    <tableColumn id="4" xr3:uid="{C3858170-4A8E-4C36-8C15-B6435CDAEAA4}" name="Porównania" dataDxfId="159">
      <calculatedColumnFormula>AVERAGE(D3,I3,N3,S3,X3)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C5828665-D384-4D6A-9188-29EDE246FAA8}" name="Table161444262" displayName="Table161444262" ref="A2:D22" totalsRowShown="0">
  <autoFilter ref="A2:D22" xr:uid="{780D34FD-56BD-4FC5-93A2-3B93C0CD1C03}"/>
  <tableColumns count="4">
    <tableColumn id="1" xr3:uid="{E354C912-E500-4610-8C35-C57CC4F063B3}" name="Długość tablicy n"/>
    <tableColumn id="2" xr3:uid="{C86AF389-154A-43AB-95C1-4C35BE29339B}" name="Czas (ms)"/>
    <tableColumn id="3" xr3:uid="{1171A662-CF55-4BE3-8E38-7A9F5863FD70}" name="Przypisania"/>
    <tableColumn id="4" xr3:uid="{D83EC73D-E743-4C8F-A791-AAC095DE22C3}" name="Porównani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A97A830-73AF-4B35-BD67-E04BDE098D59}" name="Table1691545363" displayName="Table1691545363" ref="F2:I22" totalsRowShown="0">
  <autoFilter ref="F2:I22" xr:uid="{FCA29569-21AE-4917-9A02-746E117A5182}"/>
  <tableColumns count="4">
    <tableColumn id="1" xr3:uid="{6AC34931-1C15-4900-AD1B-E915BD119B51}" name="Długość tablicy n"/>
    <tableColumn id="2" xr3:uid="{8CB2BBB6-CC2F-4267-9336-A9485CB50DCA}" name="Czas (ms)" dataDxfId="158"/>
    <tableColumn id="3" xr3:uid="{22C6D808-0923-400F-83CA-DA9CCDB003D4}" name="Przypisania"/>
    <tableColumn id="4" xr3:uid="{AB0C56A7-4CC5-4462-9833-56FA96437A35}" name="Porównani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4DD23032-A3BC-4309-B1BB-41E7324EFB3A}" name="Table16101646464" displayName="Table16101646464" ref="K2:N22" totalsRowShown="0">
  <autoFilter ref="K2:N22" xr:uid="{72605767-C089-424F-8C86-F53B7F882974}"/>
  <tableColumns count="4">
    <tableColumn id="1" xr3:uid="{1CA76DFC-5CDD-4AAD-A60E-CFC34C920516}" name="Długość tablicy n"/>
    <tableColumn id="2" xr3:uid="{5CA147CD-BF67-4829-9D22-24F937E297B3}" name="Czas (ms)"/>
    <tableColumn id="3" xr3:uid="{B0F681F6-D354-4D20-AA97-2468840ADA56}" name="Przypisania" dataDxfId="157"/>
    <tableColumn id="4" xr3:uid="{F8FE316A-E1D8-4BAD-96F7-60B3561651FD}" name="Porównani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E45C1180-B493-4139-BD17-19551717A101}" name="Table16111747565" displayName="Table16111747565" ref="P2:S22" totalsRowShown="0">
  <autoFilter ref="P2:S22" xr:uid="{DC2F2316-88A8-4244-9F5C-22439BF75BD0}"/>
  <tableColumns count="4">
    <tableColumn id="1" xr3:uid="{A7EFED4F-B6F7-4F4A-891F-3B35ED8B55F9}" name="Długość tablicy n"/>
    <tableColumn id="2" xr3:uid="{A5828736-D2D3-4C8E-8058-98A6E8EB1E35}" name="Czas (ms)"/>
    <tableColumn id="3" xr3:uid="{ED4B8E0A-FE8F-4D65-AA2C-4B4A81539C75}" name="Przypisania"/>
    <tableColumn id="4" xr3:uid="{B3A99DD1-63E5-4F2F-BE79-DFEE7681B548}" name="Porównani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41B6C931-EE5C-43A9-A9D8-AEAEACE16DBC}" name="Table16121848766" displayName="Table16121848766" ref="U2:X22" totalsRowShown="0">
  <autoFilter ref="U2:X22" xr:uid="{5713DDE3-CFAD-4B02-A75F-7BFF0E3BAA28}"/>
  <tableColumns count="4">
    <tableColumn id="1" xr3:uid="{B00253AF-631B-435E-AE12-D5A2F2791BAE}" name="Długość tablicy n"/>
    <tableColumn id="2" xr3:uid="{E2F344E5-7DA4-490E-B133-C130A59CC009}" name="Czas (ms)"/>
    <tableColumn id="3" xr3:uid="{BC8C9B47-1D82-466B-87FD-2F52F3AEAAC5}" name="Przypisania"/>
    <tableColumn id="4" xr3:uid="{FAD1C04F-81B0-4333-B14E-D3EDCFE4348C}" name="Porównani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DA442585-4D5E-4E31-89BD-AFF48B803B01}" name="Table1612131949867" displayName="Table1612131949867" ref="Z2:AC22" totalsRowShown="0">
  <autoFilter ref="Z2:AC22" xr:uid="{37915A5F-39F7-40C6-B2F9-1672464E6A0C}"/>
  <tableColumns count="4">
    <tableColumn id="1" xr3:uid="{C2C82EC8-2C0E-4BA5-82AB-3F4CD99F78AE}" name="Długość tablicy n"/>
    <tableColumn id="2" xr3:uid="{8F78A917-5386-46C2-ADD3-34BD6098961C}" name="Czas (ms)" dataDxfId="156">
      <calculatedColumnFormula>AVERAGE(B3,G3,L3,Q3,V3)</calculatedColumnFormula>
    </tableColumn>
    <tableColumn id="3" xr3:uid="{77564865-246E-479B-BD20-9D2649A03462}" name="Przypisania" dataDxfId="155">
      <calculatedColumnFormula>AVERAGE(C3,H3,M3,R3,W3)</calculatedColumnFormula>
    </tableColumn>
    <tableColumn id="4" xr3:uid="{74196B33-3457-44E6-BE55-D718D0F47C57}" name="Porównania" dataDxfId="154">
      <calculatedColumnFormula>AVERAGE(D3,I3,N3,S3,X3)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3837DCE-927B-43A5-8C52-1A5BBC008F8F}" name="Table16144422068" displayName="Table16144422068" ref="A26:D46" totalsRowShown="0" dataDxfId="153">
  <autoFilter ref="A26:D46" xr:uid="{1453281E-71EC-4089-B071-FC721BF83C4A}"/>
  <tableColumns count="4">
    <tableColumn id="1" xr3:uid="{1BE7DD26-3092-44F0-808E-9656587C0D8A}" name="Długość tablicy n" dataDxfId="152"/>
    <tableColumn id="2" xr3:uid="{65688CB0-203F-41F1-AC5F-3954916D8537}" name="Czas (ms)" dataDxfId="151"/>
    <tableColumn id="3" xr3:uid="{C5C0227A-41D6-412B-9F07-E3BF0E7D83AF}" name="Przypisania" dataDxfId="150"/>
    <tableColumn id="4" xr3:uid="{8FFDC38A-968E-4F73-ABFD-FB03DD3475AF}" name="Porównania" dataDxfId="14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3A5316B7-3A1A-422B-A374-A05600F5295A}" name="Table169154532169" displayName="Table169154532169" ref="F26:I46" totalsRowShown="0" dataDxfId="148">
  <autoFilter ref="F26:I46" xr:uid="{7B537255-92DA-41A0-90A2-A3029F6F7DD3}"/>
  <tableColumns count="4">
    <tableColumn id="1" xr3:uid="{EFB851DA-4225-46C9-8D53-8913BA70D956}" name="Długość tablicy n" dataDxfId="147"/>
    <tableColumn id="2" xr3:uid="{D9DCE779-C98C-40A5-BA3A-86A7B3475DA2}" name="Czas (ms)" dataDxfId="146"/>
    <tableColumn id="3" xr3:uid="{D96E8A4E-BCF2-4796-A449-70DCCD8BFE16}" name="Przypisania" dataDxfId="145"/>
    <tableColumn id="4" xr3:uid="{8DA46F22-C715-46FA-B0EE-C37FB1354E44}" name="Porównania" dataDxfId="144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8F0241DF-C47B-48D4-93D5-D3E56A205080}" name="Table1610164642270" displayName="Table1610164642270" ref="K26:N46" totalsRowShown="0" dataDxfId="143">
  <autoFilter ref="K26:N46" xr:uid="{BD32D44F-13A0-40E8-B2D4-1A6F35DFB952}"/>
  <tableColumns count="4">
    <tableColumn id="1" xr3:uid="{D1B280B4-E630-4843-8B69-240F39809D04}" name="Długość tablicy n" dataDxfId="142"/>
    <tableColumn id="2" xr3:uid="{FD264451-0BA4-41B3-B3E5-C554EFC20757}" name="Czas (ms)" dataDxfId="141"/>
    <tableColumn id="3" xr3:uid="{DEFCF82C-6A1E-4BBA-992B-237F11D4AA42}" name="Przypisania" dataDxfId="140"/>
    <tableColumn id="4" xr3:uid="{D2B78AA9-34D2-4E59-8189-D4716CF7D1A6}" name="Porównania" dataDxfId="13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86F1EB0-7C67-4479-BCC8-ACA745ED2458}" name="Table1611174752371" displayName="Table1611174752371" ref="P26:S46" totalsRowShown="0" dataDxfId="138">
  <autoFilter ref="P26:S46" xr:uid="{E669CBD4-09D0-4CB9-BDC7-CAA8465C8680}"/>
  <tableColumns count="4">
    <tableColumn id="1" xr3:uid="{52CB08CE-545E-42B4-B81D-22981559752D}" name="Długość tablicy n" dataDxfId="137"/>
    <tableColumn id="2" xr3:uid="{587EB7D4-3DFE-47EF-91F5-2D7BF83F8247}" name="Czas (ms)" dataDxfId="136"/>
    <tableColumn id="3" xr3:uid="{B0F3ED32-4B70-4AA7-8F3E-31C40F5E8B56}" name="Przypisania" dataDxfId="135"/>
    <tableColumn id="4" xr3:uid="{480A7559-B670-4428-BA27-979F29848B64}" name="Porównania" dataDxfId="13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585A8646-77B1-4748-9723-4E5A8AF62A55}" name="Table1612184872472" displayName="Table1612184872472" ref="U26:X46" totalsRowShown="0" dataDxfId="133">
  <autoFilter ref="U26:X46" xr:uid="{546275E4-227B-491B-AD92-7459E2E96F6A}"/>
  <tableColumns count="4">
    <tableColumn id="1" xr3:uid="{30C2DDEF-829E-4313-91AB-6178B0FD02A0}" name="Długość tablicy n" dataDxfId="132"/>
    <tableColumn id="2" xr3:uid="{4C5B2AEC-6AB6-453A-9A8B-3CE7DD7B4F6E}" name="Czas (ms)" dataDxfId="131"/>
    <tableColumn id="3" xr3:uid="{27FBCB59-E614-4B1C-8CA5-2050B0BC92EE}" name="Przypisania" dataDxfId="130"/>
    <tableColumn id="4" xr3:uid="{93412231-3C62-46C8-921C-353895AE4D7D}" name="Porównania" dataDxfId="12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A5E0109D-C14A-47D5-B6F1-E4153E0CAF57}" name="Table161213194982573" displayName="Table161213194982573" ref="Z26:AC46" totalsRowShown="0" dataDxfId="128">
  <autoFilter ref="Z26:AC46" xr:uid="{7F2C8F39-637C-4EE7-98AC-B469A6ADF00C}"/>
  <tableColumns count="4">
    <tableColumn id="1" xr3:uid="{7E41F0EF-7283-405E-A4C9-6D833E4265FC}" name="Długość tablicy n" dataDxfId="127"/>
    <tableColumn id="2" xr3:uid="{5C501936-76B2-4EF8-B82F-C02ED3A568DF}" name="Czas (ms)" dataDxfId="126">
      <calculatedColumnFormula>AVERAGE(B27,G27,L27,Q27,V27)</calculatedColumnFormula>
    </tableColumn>
    <tableColumn id="3" xr3:uid="{8B69B6A1-667E-4A17-BA2E-A190A15003B7}" name="Przypisania" dataDxfId="125">
      <calculatedColumnFormula>AVERAGE(C27,H27,M27,R27,W27)</calculatedColumnFormula>
    </tableColumn>
    <tableColumn id="4" xr3:uid="{88C395D3-B777-406B-8126-D10F2D434F21}" name="Porównania" dataDxfId="124">
      <calculatedColumnFormula>AVERAGE(D27,I27,N27,S27,X27)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7EC6DCB1-EF60-49C1-B92D-6EBE57EEC21D}" name="Table16144422674" displayName="Table16144422674" ref="A50:D70" totalsRowShown="0" dataDxfId="123">
  <autoFilter ref="A50:D70" xr:uid="{1B6A01DE-1A58-410D-99F3-6E35B82320C9}"/>
  <tableColumns count="4">
    <tableColumn id="1" xr3:uid="{58CA42C8-BDFD-4FB5-86B4-63BCDEB995D1}" name="Długość tablicy n" dataDxfId="122"/>
    <tableColumn id="2" xr3:uid="{89AD6E23-6A31-4AB7-8C71-2926B7191EBD}" name="Czas (ms)" dataDxfId="121"/>
    <tableColumn id="3" xr3:uid="{A04CBEF9-384D-4189-8086-EEB21796820E}" name="Przypisania" dataDxfId="120"/>
    <tableColumn id="4" xr3:uid="{DDBA552E-1DD3-463C-87E4-7290512D48F4}" name="Porównania" dataDxfId="119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D6514C3A-A2CC-4442-8500-A4437D21249C}" name="Table169154532775" displayName="Table169154532775" ref="F50:I70" totalsRowShown="0" dataDxfId="118">
  <autoFilter ref="F50:I70" xr:uid="{114264C2-9436-468A-9204-124289AF88A1}"/>
  <tableColumns count="4">
    <tableColumn id="1" xr3:uid="{514B7B6E-F998-4F9A-8C81-64C6812E5D32}" name="Długość tablicy n" dataDxfId="117"/>
    <tableColumn id="2" xr3:uid="{41D24ACF-DD91-41FA-AB22-B41D1D26FC39}" name="Czas (ms)" dataDxfId="116"/>
    <tableColumn id="3" xr3:uid="{516F1665-D2C6-48E6-B011-9C3192F06768}" name="Przypisania" dataDxfId="115"/>
    <tableColumn id="4" xr3:uid="{288E3095-4DA8-47C5-8641-70FCF3998289}" name="Porównania" dataDxfId="11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C5BBA218-D708-463B-B2FD-6BE81D8FC34B}" name="Table1610164642876" displayName="Table1610164642876" ref="K50:N70" totalsRowShown="0" dataDxfId="113">
  <autoFilter ref="K50:N70" xr:uid="{27F169BB-3670-4EF8-A4B8-C2BF41586506}"/>
  <tableColumns count="4">
    <tableColumn id="1" xr3:uid="{164EE5CA-6ED9-4B93-B9D2-9836B5CFCE52}" name="Długość tablicy n" dataDxfId="112"/>
    <tableColumn id="2" xr3:uid="{4E54C709-92AF-4E66-A68C-53B160BC0726}" name="Czas (ms)" dataDxfId="111"/>
    <tableColumn id="3" xr3:uid="{B8B5263C-DE61-4CF9-B4CE-8EA33CAC0E7A}" name="Przypisania" dataDxfId="110"/>
    <tableColumn id="4" xr3:uid="{AC2D1126-1DCB-4F16-8149-D8EE2027A582}" name="Porównania" dataDxfId="109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BEA5A57A-053F-42A4-B5A3-7767FBFF6465}" name="Table1611174752977" displayName="Table1611174752977" ref="P50:S70" totalsRowShown="0" dataDxfId="108">
  <autoFilter ref="P50:S70" xr:uid="{072DBF43-E599-4AA9-BE94-6CB429885A00}"/>
  <tableColumns count="4">
    <tableColumn id="1" xr3:uid="{37EDF1F4-08CF-44F3-B44F-CEEA618653E4}" name="Długość tablicy n" dataDxfId="107"/>
    <tableColumn id="2" xr3:uid="{50CCAB52-DE4E-44EE-8865-D8F17E387783}" name="Czas (ms)" dataDxfId="106"/>
    <tableColumn id="3" xr3:uid="{849E143F-2A6E-4F2B-9CA4-71EA62CA06C3}" name="Przypisania" dataDxfId="105"/>
    <tableColumn id="4" xr3:uid="{E7557FBA-3223-46ED-9003-508A9E13E5FF}" name="Porównania" dataDxfId="104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EC84C1F5-CF9A-4A43-8185-74AEE3BE6A92}" name="Table1612184873078" displayName="Table1612184873078" ref="U50:X70" totalsRowShown="0" dataDxfId="103">
  <autoFilter ref="U50:X70" xr:uid="{08DAEB74-C33E-44BF-882E-2E50124D9DD4}"/>
  <tableColumns count="4">
    <tableColumn id="1" xr3:uid="{678BAB0E-0F36-463D-B4F2-5D1F10536181}" name="Długość tablicy n" dataDxfId="102"/>
    <tableColumn id="2" xr3:uid="{0AD62506-A9B0-4BE1-8B91-2BE6D5D83CD9}" name="Czas (ms)" dataDxfId="101"/>
    <tableColumn id="3" xr3:uid="{33054213-25B0-495C-BCD2-B5ED9FE797A9}" name="Przypisania" dataDxfId="100"/>
    <tableColumn id="4" xr3:uid="{4780CC5E-DEF7-42F9-85DC-CEB83F753505}" name="Porównania" dataDxfId="99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FCD9C4FE-670C-4AE3-9A6E-1F2B6DA6EE35}" name="Table161213194983179" displayName="Table161213194983179" ref="Z50:AC70" totalsRowShown="0" dataDxfId="98">
  <autoFilter ref="Z50:AC70" xr:uid="{97EED983-1F75-4761-BAAE-4BA16AC85DB0}"/>
  <tableColumns count="4">
    <tableColumn id="1" xr3:uid="{D18AF07B-EB48-44CC-A6EA-ADC38487E07F}" name="Długość tablicy n" dataDxfId="97"/>
    <tableColumn id="2" xr3:uid="{FD1C2C9B-B2B2-4CE8-8756-9B9B3E0EBA18}" name="Czas (ms)" dataDxfId="96">
      <calculatedColumnFormula>AVERAGE(B51,G51,L51,Q51,V51)</calculatedColumnFormula>
    </tableColumn>
    <tableColumn id="3" xr3:uid="{7797F67A-EAA9-4DB5-A91C-346F96F29C37}" name="Przypisania" dataDxfId="95">
      <calculatedColumnFormula>AVERAGE(C51,H51,M51,R51,W51)</calculatedColumnFormula>
    </tableColumn>
    <tableColumn id="4" xr3:uid="{5EB70A96-EE6A-4402-89EF-9A250C688939}" name="Porównania" dataDxfId="94">
      <calculatedColumnFormula>AVERAGE(D51,I51,N51,S51,X51)</calculatedColumnFormula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241BB66-258C-482F-8721-D3559E52DDF7}" name="Table16144425080" displayName="Table16144425080" ref="A74:D94" totalsRowShown="0" dataDxfId="93">
  <autoFilter ref="A74:D94" xr:uid="{DC9CB000-20B4-4041-BBE3-FFA045E7408A}"/>
  <tableColumns count="4">
    <tableColumn id="1" xr3:uid="{D40729F1-6785-49C1-870D-3F47698C63C1}" name="Długość tablicy n" dataDxfId="92"/>
    <tableColumn id="2" xr3:uid="{7CD643DB-D9F9-4F60-9DA8-B13991A16361}" name="Czas (ms)" dataDxfId="91"/>
    <tableColumn id="3" xr3:uid="{3942F42A-D092-4EE4-AB10-4AF44D7326C8}" name="Przypisania" dataDxfId="90"/>
    <tableColumn id="4" xr3:uid="{7FD3B0B4-2EB9-46E1-A684-704CF6C33F9F}" name="Porównania" dataDxfId="89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2B15552D-2C61-4AED-B883-18D88DD9A8B3}" name="Table169154535181" displayName="Table169154535181" ref="F74:I94" totalsRowShown="0" dataDxfId="88">
  <autoFilter ref="F74:I94" xr:uid="{1EED7D34-CE92-411A-A076-83C59AB26DA9}"/>
  <tableColumns count="4">
    <tableColumn id="1" xr3:uid="{7D85C8C4-6B01-4D1C-B800-5ACA5C6E6EB8}" name="Długość tablicy n" dataDxfId="87"/>
    <tableColumn id="2" xr3:uid="{80776375-245E-4AA7-90DF-F495EA03C07C}" name="Czas (ms)" dataDxfId="86"/>
    <tableColumn id="3" xr3:uid="{6247779A-B995-4289-9845-E753BD76FC7D}" name="Przypisania" dataDxfId="85"/>
    <tableColumn id="4" xr3:uid="{D1BA89F9-F59A-46E2-A5AA-755BB6796DC8}" name="Porównania" dataDxfId="84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FB119EC2-9E11-4868-A61D-7538F01A78E9}" name="Table1610164645282" displayName="Table1610164645282" ref="K74:N94" totalsRowShown="0" dataDxfId="83">
  <autoFilter ref="K74:N94" xr:uid="{2E1CA3BD-71CB-4E61-8389-A4E64E93C729}"/>
  <tableColumns count="4">
    <tableColumn id="1" xr3:uid="{D6B43319-F5CE-42DE-8601-EB36D679AABC}" name="Długość tablicy n" dataDxfId="82"/>
    <tableColumn id="2" xr3:uid="{12195AF8-80ED-47C7-B4D7-CB47CBF6FF77}" name="Czas (ms)" dataDxfId="81"/>
    <tableColumn id="3" xr3:uid="{7606B444-D231-459D-8D37-DE59E96837F4}" name="Przypisania" dataDxfId="80"/>
    <tableColumn id="4" xr3:uid="{DA24C6D4-8249-4A79-8085-D73C2390D4CE}" name="Porównania" dataDxfId="7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395F6260-6D66-4CC9-A30E-2ECD0006807E}" name="Table1611174755383" displayName="Table1611174755383" ref="P74:S94" totalsRowShown="0" dataDxfId="78">
  <autoFilter ref="P74:S94" xr:uid="{73BD4D22-A4CF-4921-AB1E-DAEF8150D7AB}"/>
  <tableColumns count="4">
    <tableColumn id="1" xr3:uid="{A95FE9EE-8F6A-40DC-82CF-E683B7F28C99}" name="Długość tablicy n" dataDxfId="77"/>
    <tableColumn id="2" xr3:uid="{BEAA9CA7-2E68-4948-BBBA-5BCF706313CF}" name="Czas (ms)" dataDxfId="76"/>
    <tableColumn id="3" xr3:uid="{5DD4D7B4-D3C9-4EB0-86EE-58CE313F4D7D}" name="Przypisania" dataDxfId="75"/>
    <tableColumn id="4" xr3:uid="{3ACE1F09-7F97-4940-B33F-B62C841F5169}" name="Porównania" dataDxfId="7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DBE117D6-EC12-4E9E-998C-8F15BFC77778}" name="Table1612184875484" displayName="Table1612184875484" ref="U74:X94" totalsRowShown="0" dataDxfId="73">
  <autoFilter ref="U74:X94" xr:uid="{A24B7B03-6143-492A-AE6F-1E98478E8C9D}"/>
  <tableColumns count="4">
    <tableColumn id="1" xr3:uid="{0B497A3F-B304-4F18-99EC-5A4686DF63EC}" name="Długość tablicy n" dataDxfId="72"/>
    <tableColumn id="2" xr3:uid="{487ACBF0-E734-471F-85E9-917444FB6BB4}" name="Czas (ms)" dataDxfId="71"/>
    <tableColumn id="3" xr3:uid="{36A0E64A-252B-4F27-8D43-3F290CC162F0}" name="Przypisania" dataDxfId="70"/>
    <tableColumn id="4" xr3:uid="{94E6714B-2664-470D-B7CA-9EA2641FEC3E}" name="Porównania" dataDxfId="69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29B16856-AE4E-413F-9327-0545D0B3BE34}" name="Table161213194985585" displayName="Table161213194985585" ref="Z74:AC94" totalsRowShown="0" dataDxfId="68">
  <autoFilter ref="Z74:AC94" xr:uid="{59E1CFA4-E7B5-4BD8-8B4E-DAFEC24F76DD}"/>
  <tableColumns count="4">
    <tableColumn id="1" xr3:uid="{34F52023-6B58-4CA3-89E7-BDC5380FF5E7}" name="Długość tablicy n" dataDxfId="67"/>
    <tableColumn id="2" xr3:uid="{D31D092A-4755-44E1-ABEC-D37A121B790C}" name="Czas (ms)" dataDxfId="66">
      <calculatedColumnFormula>AVERAGE(B75,G75,L75,Q75,V75)</calculatedColumnFormula>
    </tableColumn>
    <tableColumn id="3" xr3:uid="{87090EAD-DB8A-4167-8DC1-C0C34D37843B}" name="Przypisania" dataDxfId="65">
      <calculatedColumnFormula>AVERAGE(C75,H75,M75,R75,W75)</calculatedColumnFormula>
    </tableColumn>
    <tableColumn id="4" xr3:uid="{8DFF1572-D286-4FE9-AC35-06540FF87508}" name="Porównania" dataDxfId="64">
      <calculatedColumnFormula>AVERAGE(D75,I75,N75,S75,X75)</calculatedColumnFormula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BAF6E56B-4083-41BF-B568-7E82B967ADE5}" name="Table16144425686" displayName="Table16144425686" ref="A98:D118" totalsRowShown="0" dataDxfId="63">
  <autoFilter ref="A98:D118" xr:uid="{57744533-E2D8-4680-9F27-A815E6DB315A}"/>
  <tableColumns count="4">
    <tableColumn id="1" xr3:uid="{9B7C17CF-411C-4F39-8008-9B0C587A5C58}" name="Długość tablicy n" dataDxfId="62"/>
    <tableColumn id="2" xr3:uid="{1900480B-5D79-4F6C-8A6E-AF7F828A15D6}" name="Czas (ms)" dataDxfId="61"/>
    <tableColumn id="3" xr3:uid="{1474950B-D840-4850-A0B4-0D5824C777D3}" name="Przypisania" dataDxfId="60"/>
    <tableColumn id="4" xr3:uid="{0FE7C311-48D7-4E6B-BD43-EFCA30DF7745}" name="Porównania" dataDxfId="59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343F816-FA80-43F5-A149-7734D666FA8B}" name="Table169154535787" displayName="Table169154535787" ref="F98:I118" totalsRowShown="0" dataDxfId="58">
  <autoFilter ref="F98:I118" xr:uid="{AA8F6848-4A27-40DF-BC7F-984FA3A3DB7D}"/>
  <tableColumns count="4">
    <tableColumn id="1" xr3:uid="{A941F377-903C-47D8-8635-864A1735E8F1}" name="Długość tablicy n" dataDxfId="57"/>
    <tableColumn id="2" xr3:uid="{4A3615E9-8701-4C61-A2D5-BC374B3E0C7E}" name="Czas (ms)" dataDxfId="56"/>
    <tableColumn id="3" xr3:uid="{6234F28B-A7AD-4652-BD99-05CAE71F0889}" name="Przypisania" dataDxfId="55"/>
    <tableColumn id="4" xr3:uid="{EEEE1EF5-B721-43AE-AB27-28B74117BDB9}" name="Porównania" dataDxfId="54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D13B2E89-171B-40C0-8539-AA9BE86C83AA}" name="Table1610164645888" displayName="Table1610164645888" ref="K98:N118" totalsRowShown="0" dataDxfId="53">
  <autoFilter ref="K98:N118" xr:uid="{2D7EC10B-18B3-4662-BB55-B0C30B892F9C}"/>
  <tableColumns count="4">
    <tableColumn id="1" xr3:uid="{05E7AAF2-6E94-4CE0-817C-FB8707C96920}" name="Długość tablicy n" dataDxfId="52"/>
    <tableColumn id="2" xr3:uid="{E9F18711-62BD-4850-8C26-AD278AD15D16}" name="Czas (ms)" dataDxfId="51"/>
    <tableColumn id="3" xr3:uid="{6D42FD7C-8709-4CBE-BDEE-399F84B2BAF9}" name="Przypisania" dataDxfId="50"/>
    <tableColumn id="4" xr3:uid="{F87E4B20-36BE-4D52-AF33-FD9A01531B16}" name="Porównania" dataDxfId="4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3FD649E5-BBBB-4E77-B153-76D8F0646A31}" name="Table1611174755989" displayName="Table1611174755989" ref="P98:S118" totalsRowShown="0" dataDxfId="48">
  <autoFilter ref="P98:S118" xr:uid="{C6E5FB4C-BF0B-4A15-A032-D7A92DDA59D2}"/>
  <tableColumns count="4">
    <tableColumn id="1" xr3:uid="{896936AB-CA96-4D26-8B51-3B57BC34FD19}" name="Długość tablicy n" dataDxfId="47"/>
    <tableColumn id="2" xr3:uid="{86F9FB22-C434-4C27-A5D4-B8FA2FF3E8D4}" name="Czas (ms)" dataDxfId="46"/>
    <tableColumn id="3" xr3:uid="{1FC54C3E-D528-4096-B227-A7D7F5004E00}" name="Przypisania" dataDxfId="45"/>
    <tableColumn id="4" xr3:uid="{023D48BB-8BF2-4B4F-831D-5F4DD2D1C6DB}" name="Porównania" dataDxfId="44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2BFE533A-9E7C-4735-B4BE-7B65EA6B6BB9}" name="Table1612184876090" displayName="Table1612184876090" ref="U98:X118" totalsRowShown="0" dataDxfId="43">
  <autoFilter ref="U98:X118" xr:uid="{49E62173-9ED0-4051-86AD-078A74555631}"/>
  <tableColumns count="4">
    <tableColumn id="1" xr3:uid="{23257E23-F094-4D73-B5CB-1CF4EAB53F31}" name="Długość tablicy n" dataDxfId="42"/>
    <tableColumn id="2" xr3:uid="{7860F977-34C6-4A0C-804A-48E5643BC507}" name="Czas (ms)" dataDxfId="41"/>
    <tableColumn id="3" xr3:uid="{EE4EE4B1-1236-4E14-8A16-5C13554773EA}" name="Przypisania" dataDxfId="40"/>
    <tableColumn id="4" xr3:uid="{A9C9C3DD-7056-4135-96D8-5E6F54B21410}" name="Porównania" dataDxfId="39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B46E935B-F980-4E1A-BA19-093A06686C7E}" name="Table161213194986191" displayName="Table161213194986191" ref="Z98:AC118" totalsRowShown="0" dataDxfId="38">
  <autoFilter ref="Z98:AC118" xr:uid="{E3D37E96-5A2D-444C-A665-0747F7D0F3C6}"/>
  <tableColumns count="4">
    <tableColumn id="1" xr3:uid="{3340B207-B4EB-44E4-8447-35BF1518B80F}" name="Długość tablicy n" dataDxfId="37"/>
    <tableColumn id="2" xr3:uid="{D02EBFD7-7E67-4DBA-9BB6-40E2AD6FC7BB}" name="Czas (ms)" dataDxfId="36">
      <calculatedColumnFormula>AVERAGE(B99,G99,L99,Q99,V99)</calculatedColumnFormula>
    </tableColumn>
    <tableColumn id="3" xr3:uid="{53C9BC9A-B25A-4A90-AE7D-171B1D76CAC0}" name="Przypisania" dataDxfId="35">
      <calculatedColumnFormula>AVERAGE(C99,H99,M99,R99,W99)</calculatedColumnFormula>
    </tableColumn>
    <tableColumn id="4" xr3:uid="{4802A392-5B8A-4A0F-B026-7CB768629E75}" name="Porównania" dataDxfId="34">
      <calculatedColumnFormula>AVERAGE(D99,I99,N99,S99,X99)</calculatedColumnFormula>
    </tableColumn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70E560-7F57-474E-B877-DBBE88475F13}" name="Table1614442" displayName="Table1614442" ref="A2:D22" totalsRowShown="0">
  <autoFilter ref="A2:D22" xr:uid="{780D34FD-56BD-4FC5-93A2-3B93C0CD1C03}"/>
  <tableColumns count="4">
    <tableColumn id="1" xr3:uid="{067C7767-593D-4CA9-85FD-63C6DC3CC85D}" name="Długość tablicy n"/>
    <tableColumn id="2" xr3:uid="{AD929B6E-AC3A-49B9-956E-EBA54E590FFA}" name="Czas (ms)"/>
    <tableColumn id="3" xr3:uid="{1C1B6F97-8500-4854-9BB9-9CCAC51FCBC3}" name="Przypisania"/>
    <tableColumn id="4" xr3:uid="{60E29B3E-3D5E-48EA-8517-9A6EDE6F7C0F}" name="Porównania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640E10-0465-4901-9037-F54C842803AC}" name="Table16915453" displayName="Table16915453" ref="F2:I22" totalsRowShown="0">
  <autoFilter ref="F2:I22" xr:uid="{FCA29569-21AE-4917-9A02-746E117A5182}"/>
  <tableColumns count="4">
    <tableColumn id="1" xr3:uid="{323BCBCC-9362-447E-97E8-FCB479A77E04}" name="Długość tablicy n"/>
    <tableColumn id="2" xr3:uid="{43E0307E-229F-4F19-B74F-DBC2A7B66324}" name="Czas (ms)" dataDxfId="33"/>
    <tableColumn id="3" xr3:uid="{D39EAAAC-544B-4A5A-AB06-4A1771FA1062}" name="Przypisania"/>
    <tableColumn id="4" xr3:uid="{43CDE994-3957-43F2-8011-76FAA2D159A3}" name="Porównania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AB6A50-C1AB-4F3A-8E89-9F552D8412FB}" name="Table161016464" displayName="Table161016464" ref="K2:N22" totalsRowShown="0">
  <autoFilter ref="K2:N22" xr:uid="{72605767-C089-424F-8C86-F53B7F882974}"/>
  <tableColumns count="4">
    <tableColumn id="1" xr3:uid="{08E699F5-7167-4A74-B587-74C41A85C9BA}" name="Długość tablicy n"/>
    <tableColumn id="2" xr3:uid="{9C382804-F3A7-4157-90DB-1E263FCD3A4A}" name="Czas (ms)"/>
    <tableColumn id="3" xr3:uid="{63569491-AA12-4694-8F6E-50E4EE23C81A}" name="Przypisania" dataDxfId="32"/>
    <tableColumn id="4" xr3:uid="{DF7AC4F4-F817-4AA1-86A4-FFB925208EB0}" name="Porównania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875EAE-1AFD-471E-BD14-835634378DEB}" name="Table161117475" displayName="Table161117475" ref="P2:S22" totalsRowShown="0">
  <autoFilter ref="P2:S22" xr:uid="{DC2F2316-88A8-4244-9F5C-22439BF75BD0}"/>
  <tableColumns count="4">
    <tableColumn id="1" xr3:uid="{75C98163-0BA3-404F-BCC4-B30C7EB3CC0D}" name="Długość tablicy n"/>
    <tableColumn id="2" xr3:uid="{190E7647-3471-4A0E-96B0-E422864EB3B8}" name="Czas (ms)"/>
    <tableColumn id="3" xr3:uid="{C9B35D46-892B-439B-AE32-2DC9A596CC78}" name="Przypisania"/>
    <tableColumn id="4" xr3:uid="{0DE67915-49AF-4BF4-A550-D3465843A7AB}" name="Porównania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2A4F98-9D7E-47C8-BE1A-F6439A97F493}" name="Table161218487" displayName="Table161218487" ref="U2:X22" totalsRowShown="0">
  <autoFilter ref="U2:X22" xr:uid="{5713DDE3-CFAD-4B02-A75F-7BFF0E3BAA28}"/>
  <tableColumns count="4">
    <tableColumn id="1" xr3:uid="{C1B19035-64D1-4A87-8D7C-9581A4FA3FF0}" name="Długość tablicy n"/>
    <tableColumn id="2" xr3:uid="{7D5A347C-8303-4305-8B4D-D81DD04702A1}" name="Czas (ms)"/>
    <tableColumn id="3" xr3:uid="{AF89D3FE-DFC7-4042-B92F-B53BB8BB7E19}" name="Przypisania"/>
    <tableColumn id="4" xr3:uid="{D43FF9DD-7D48-4319-9B2A-7388641592C6}" name="Porównania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D1DB1EE-0779-45C0-9B0F-33BF2252C55A}" name="Table16121319498" displayName="Table16121319498" ref="Z2:AC22" totalsRowShown="0">
  <autoFilter ref="Z2:AC22" xr:uid="{37915A5F-39F7-40C6-B2F9-1672464E6A0C}"/>
  <tableColumns count="4">
    <tableColumn id="1" xr3:uid="{435A9D12-5DAE-4449-A977-EC3D2C96512A}" name="Długość tablicy n"/>
    <tableColumn id="2" xr3:uid="{F4DF6D6A-4310-4763-988E-BA7176E1D2F2}" name="Czas (ms)" dataDxfId="31">
      <calculatedColumnFormula>AVERAGE(B3,G3,L3,Q3,V3)</calculatedColumnFormula>
    </tableColumn>
    <tableColumn id="3" xr3:uid="{E321E445-0B0D-4CB4-ABA2-B7100D7F7D60}" name="Przypisania" dataDxfId="30">
      <calculatedColumnFormula>AVERAGE(C3,H3,M3,R3,W3)</calculatedColumnFormula>
    </tableColumn>
    <tableColumn id="4" xr3:uid="{D757CB05-FFC5-411E-9513-9F400C90A570}" name="Porównania" dataDxfId="29">
      <calculatedColumnFormula>AVERAGE(D3,I3,N3,S3,X3)</calculatedColumnFormula>
    </tableColumn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453281E-71EC-4089-B071-FC721BF83C4A}" name="Table161444220" displayName="Table161444220" ref="A26:D46" totalsRowShown="0">
  <autoFilter ref="A26:D46" xr:uid="{1453281E-71EC-4089-B071-FC721BF83C4A}"/>
  <tableColumns count="4">
    <tableColumn id="1" xr3:uid="{12A0717B-0185-44C1-937C-4BB7D69C14A2}" name="Długość tablicy n"/>
    <tableColumn id="2" xr3:uid="{74B50B46-5C92-4667-8C75-69810CB4EAE7}" name="Czas (ms)"/>
    <tableColumn id="3" xr3:uid="{048C9736-6011-4C36-8841-1F8ED472BCD3}" name="Przypisania"/>
    <tableColumn id="4" xr3:uid="{AD158F13-86D9-4132-8AAE-BEC379621FE7}" name="Porównania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B537255-92DA-41A0-90A2-A3029F6F7DD3}" name="Table1691545321" displayName="Table1691545321" ref="F26:I46" totalsRowShown="0">
  <autoFilter ref="F26:I46" xr:uid="{7B537255-92DA-41A0-90A2-A3029F6F7DD3}"/>
  <tableColumns count="4">
    <tableColumn id="1" xr3:uid="{88D9AAB3-70A5-4F3B-8152-07E950B3EBB5}" name="Długość tablicy n"/>
    <tableColumn id="2" xr3:uid="{23FC4BEF-6923-4539-9A23-5464006F6A5D}" name="Czas (ms)" dataDxfId="28"/>
    <tableColumn id="3" xr3:uid="{43A41809-A4DE-4902-BF43-E21AFC712FC7}" name="Przypisania"/>
    <tableColumn id="4" xr3:uid="{F00D9961-8A44-467B-93C8-B3B34002951C}" name="Porównania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D32D44F-13A0-40E8-B2D4-1A6F35DFB952}" name="Table16101646422" displayName="Table16101646422" ref="K26:N46" totalsRowShown="0">
  <autoFilter ref="K26:N46" xr:uid="{BD32D44F-13A0-40E8-B2D4-1A6F35DFB952}"/>
  <tableColumns count="4">
    <tableColumn id="1" xr3:uid="{E5B26467-8866-409E-A844-EE483D277170}" name="Długość tablicy n"/>
    <tableColumn id="2" xr3:uid="{948E38B5-93F1-4DA9-A71D-48229272F156}" name="Czas (ms)"/>
    <tableColumn id="3" xr3:uid="{B8B48DF8-D442-447D-A1E3-1C23F6005BC0}" name="Przypisania" dataDxfId="27"/>
    <tableColumn id="4" xr3:uid="{BE627F72-739C-4B42-A645-3F6D7CC0321F}" name="Porównania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669CBD4-09D0-4CB9-BDC7-CAA8465C8680}" name="Table16111747523" displayName="Table16111747523" ref="P26:S46" totalsRowShown="0">
  <autoFilter ref="P26:S46" xr:uid="{E669CBD4-09D0-4CB9-BDC7-CAA8465C8680}"/>
  <tableColumns count="4">
    <tableColumn id="1" xr3:uid="{AF8FF112-869C-44E3-8B65-ED18A1AB06F7}" name="Długość tablicy n"/>
    <tableColumn id="2" xr3:uid="{38067372-322C-4251-B921-66E4D2335517}" name="Czas (ms)"/>
    <tableColumn id="3" xr3:uid="{8CF2ECF3-0DD7-4728-8C7E-85234703D2BC}" name="Przypisania"/>
    <tableColumn id="4" xr3:uid="{E129DF17-23FD-49F6-85FD-45EB0790D674}" name="Porównania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46275E4-227B-491B-AD92-7459E2E96F6A}" name="Table16121848724" displayName="Table16121848724" ref="U26:X46" totalsRowShown="0">
  <autoFilter ref="U26:X46" xr:uid="{546275E4-227B-491B-AD92-7459E2E96F6A}"/>
  <tableColumns count="4">
    <tableColumn id="1" xr3:uid="{52B92ED9-5099-4973-9019-7532AC74CBCF}" name="Długość tablicy n"/>
    <tableColumn id="2" xr3:uid="{B01951FB-7DE0-4A65-8110-8FEB1E6CB6FB}" name="Czas (ms)"/>
    <tableColumn id="3" xr3:uid="{40A9C306-F3C1-41CC-B0D7-04F458C03A5A}" name="Przypisania"/>
    <tableColumn id="4" xr3:uid="{91A1D049-127E-45E2-BBB5-52AA5D2FEDDD}" name="Porównania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F2C8F39-637C-4EE7-98AC-B469A6ADF00C}" name="Table1612131949825" displayName="Table1612131949825" ref="Z26:AC46" totalsRowShown="0">
  <autoFilter ref="Z26:AC46" xr:uid="{7F2C8F39-637C-4EE7-98AC-B469A6ADF00C}"/>
  <tableColumns count="4">
    <tableColumn id="1" xr3:uid="{C40DF661-DB79-4529-8434-3A1A1CECD585}" name="Długość tablicy n"/>
    <tableColumn id="2" xr3:uid="{50D02A52-F1C8-40B8-88AA-97036428E5EC}" name="Czas (ms)" dataDxfId="26">
      <calculatedColumnFormula>AVERAGE(B27,G27,L27,Q27,V27)</calculatedColumnFormula>
    </tableColumn>
    <tableColumn id="3" xr3:uid="{3471E2F8-B359-450E-ABED-662D02871806}" name="Przypisania" dataDxfId="25">
      <calculatedColumnFormula>AVERAGE(C27,H27,M27,R27,W27)</calculatedColumnFormula>
    </tableColumn>
    <tableColumn id="4" xr3:uid="{3C621CB4-9C63-49C6-BB1F-26CAFAA03F15}" name="Porównania" dataDxfId="24">
      <calculatedColumnFormula>AVERAGE(D27,I27,N27,S27,X27)</calculatedColumnFormula>
    </tableColumn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B6A01DE-1A58-410D-99F3-6E35B82320C9}" name="Table161444226" displayName="Table161444226" ref="A50:D70" totalsRowShown="0">
  <autoFilter ref="A50:D70" xr:uid="{1B6A01DE-1A58-410D-99F3-6E35B82320C9}"/>
  <tableColumns count="4">
    <tableColumn id="1" xr3:uid="{D7FD98BC-6CA0-4223-BB2A-B5ADE2F50DC6}" name="Długość tablicy n"/>
    <tableColumn id="2" xr3:uid="{0197AF65-6437-4B92-BB1D-5562F927D483}" name="Czas (ms)"/>
    <tableColumn id="3" xr3:uid="{299D950C-091E-4E9E-843E-88A0920151D9}" name="Przypisania"/>
    <tableColumn id="4" xr3:uid="{5426104F-8F7C-450F-80F0-DBCEF3C96A99}" name="Porównania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14264C2-9436-468A-9204-124289AF88A1}" name="Table1691545327" displayName="Table1691545327" ref="F50:I70" totalsRowShown="0">
  <autoFilter ref="F50:I70" xr:uid="{114264C2-9436-468A-9204-124289AF88A1}"/>
  <tableColumns count="4">
    <tableColumn id="1" xr3:uid="{EF9F32CA-0C45-4E8E-9634-A9BC417EA2DE}" name="Długość tablicy n"/>
    <tableColumn id="2" xr3:uid="{F922AC8A-BB10-4594-B6DD-A521C6C9576A}" name="Czas (ms)" dataDxfId="23"/>
    <tableColumn id="3" xr3:uid="{833678C9-C7D9-45EB-A894-B8EBB101AC39}" name="Przypisania"/>
    <tableColumn id="4" xr3:uid="{E29B4A19-DC93-4AC9-96EF-C0B493B720DA}" name="Porównania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7F169BB-3670-4EF8-A4B8-C2BF41586506}" name="Table16101646428" displayName="Table16101646428" ref="K50:N70" totalsRowShown="0">
  <autoFilter ref="K50:N70" xr:uid="{27F169BB-3670-4EF8-A4B8-C2BF41586506}"/>
  <tableColumns count="4">
    <tableColumn id="1" xr3:uid="{E477788D-0BC1-46F4-90CB-518B905BE764}" name="Długość tablicy n"/>
    <tableColumn id="2" xr3:uid="{803BCC71-1C39-48A1-96D4-AFE17A7357C7}" name="Czas (ms)"/>
    <tableColumn id="3" xr3:uid="{AD37B42B-3AC7-42CB-9D02-6EFF0323B65A}" name="Przypisania" dataDxfId="22"/>
    <tableColumn id="4" xr3:uid="{01F8DF46-E586-4635-B737-F519AE825468}" name="Porównania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72DBF43-E599-4AA9-BE94-6CB429885A00}" name="Table16111747529" displayName="Table16111747529" ref="P50:S70" totalsRowShown="0">
  <autoFilter ref="P50:S70" xr:uid="{072DBF43-E599-4AA9-BE94-6CB429885A00}"/>
  <tableColumns count="4">
    <tableColumn id="1" xr3:uid="{27DFEF9A-DC7B-44A1-BEF9-27C9363FE5C1}" name="Długość tablicy n"/>
    <tableColumn id="2" xr3:uid="{B7BC9545-4511-4945-9683-4E518EDDF279}" name="Czas (ms)"/>
    <tableColumn id="3" xr3:uid="{E04FDEE7-5DDD-4F01-84AA-71A9928FA7C5}" name="Przypisania"/>
    <tableColumn id="4" xr3:uid="{0C0BF4E0-902C-4929-9A1C-601479CB7C68}" name="Porównania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8DAEB74-C33E-44BF-882E-2E50124D9DD4}" name="Table16121848730" displayName="Table16121848730" ref="U50:X70" totalsRowShown="0">
  <autoFilter ref="U50:X70" xr:uid="{08DAEB74-C33E-44BF-882E-2E50124D9DD4}"/>
  <tableColumns count="4">
    <tableColumn id="1" xr3:uid="{62BB486D-9994-43A4-B142-CB35AE4E49E3}" name="Długość tablicy n"/>
    <tableColumn id="2" xr3:uid="{512B5390-3301-489B-89B8-0359A9D088B3}" name="Czas (ms)"/>
    <tableColumn id="3" xr3:uid="{6974C72D-0860-4A17-8060-9B93CCEE6016}" name="Przypisania"/>
    <tableColumn id="4" xr3:uid="{CE732831-20A4-4B73-B4B8-78193DD6B504}" name="Porównania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7EED983-1F75-4761-BAAE-4BA16AC85DB0}" name="Table1612131949831" displayName="Table1612131949831" ref="Z50:AC70" totalsRowShown="0">
  <autoFilter ref="Z50:AC70" xr:uid="{97EED983-1F75-4761-BAAE-4BA16AC85DB0}"/>
  <tableColumns count="4">
    <tableColumn id="1" xr3:uid="{D4717668-BA34-41F5-B289-87615E46EB24}" name="Długość tablicy n"/>
    <tableColumn id="2" xr3:uid="{3C2E213E-5A0D-4967-B8E7-D654682E16F7}" name="Czas (ms)" dataDxfId="21">
      <calculatedColumnFormula>AVERAGE(B51,G51,L51,Q51,V51)</calculatedColumnFormula>
    </tableColumn>
    <tableColumn id="3" xr3:uid="{B4100BD6-A52D-4F67-99B1-34E3DE9877FD}" name="Przypisania" dataDxfId="20">
      <calculatedColumnFormula>AVERAGE(C51,H51,M51,R51,W51)</calculatedColumnFormula>
    </tableColumn>
    <tableColumn id="4" xr3:uid="{FDDD1595-62DE-44FE-9B15-8BBE277A1F1C}" name="Porównania" dataDxfId="19">
      <calculatedColumnFormula>AVERAGE(D51,I51,N51,S51,X51)</calculatedColumnFormula>
    </tableColumn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DC9CB000-20B4-4041-BBE3-FFA045E7408A}" name="Table161444250" displayName="Table161444250" ref="A74:D94" totalsRowShown="0">
  <autoFilter ref="A74:D94" xr:uid="{DC9CB000-20B4-4041-BBE3-FFA045E7408A}"/>
  <tableColumns count="4">
    <tableColumn id="1" xr3:uid="{987033D1-32F7-483B-9479-6642C1602149}" name="Długość tablicy n"/>
    <tableColumn id="2" xr3:uid="{0521D6BC-98A9-4141-9EBB-ED65F5DAE355}" name="Czas (ms)"/>
    <tableColumn id="3" xr3:uid="{0F9619C3-7A65-4870-9682-D557AAE43726}" name="Przypisania"/>
    <tableColumn id="4" xr3:uid="{25D1FA51-3C1E-4F9A-BEE4-488459C4DA28}" name="Porównania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EED7D34-CE92-411A-A076-83C59AB26DA9}" name="Table1691545351" displayName="Table1691545351" ref="F74:I94" totalsRowShown="0">
  <autoFilter ref="F74:I94" xr:uid="{1EED7D34-CE92-411A-A076-83C59AB26DA9}"/>
  <tableColumns count="4">
    <tableColumn id="1" xr3:uid="{30749CE5-CF8B-4F37-8AAA-B6E735405220}" name="Długość tablicy n"/>
    <tableColumn id="2" xr3:uid="{5DC6ADA9-3C87-4232-93ED-FC7A1FF1062E}" name="Czas (ms)" dataDxfId="18"/>
    <tableColumn id="3" xr3:uid="{1F872D70-E2E4-4C5B-89A1-AA893C342C54}" name="Przypisania"/>
    <tableColumn id="4" xr3:uid="{9FD337F9-82CF-4419-87FB-A1165924CF1C}" name="Porównania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2E1CA3BD-71CB-4E61-8389-A4E64E93C729}" name="Table16101646452" displayName="Table16101646452" ref="K74:N94" totalsRowShown="0">
  <autoFilter ref="K74:N94" xr:uid="{2E1CA3BD-71CB-4E61-8389-A4E64E93C729}"/>
  <tableColumns count="4">
    <tableColumn id="1" xr3:uid="{B99F4652-59A0-4790-A8F9-480DDC40A817}" name="Długość tablicy n"/>
    <tableColumn id="2" xr3:uid="{0A5D7F04-2AF9-44A2-8B8A-9690562F6F20}" name="Czas (ms)"/>
    <tableColumn id="3" xr3:uid="{26F63431-8E93-4E38-B50B-71A57A283DD8}" name="Przypisania" dataDxfId="17"/>
    <tableColumn id="4" xr3:uid="{142F9B5F-CCB4-40E6-80C7-CEDF7FB89735}" name="Porównania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3BD4D22-A4CF-4921-AB1E-DAEF8150D7AB}" name="Table16111747553" displayName="Table16111747553" ref="P74:S94" totalsRowShown="0">
  <autoFilter ref="P74:S94" xr:uid="{73BD4D22-A4CF-4921-AB1E-DAEF8150D7AB}"/>
  <tableColumns count="4">
    <tableColumn id="1" xr3:uid="{718D57E6-1820-4212-AAD3-635DC2539831}" name="Długość tablicy n"/>
    <tableColumn id="2" xr3:uid="{FE9A3EE4-C36E-41AD-85FE-80ED99322616}" name="Czas (ms)"/>
    <tableColumn id="3" xr3:uid="{DCD82808-C85A-4A3A-8132-BBA7FC637613}" name="Przypisania"/>
    <tableColumn id="4" xr3:uid="{01C52055-6B1C-403B-B230-339CD872DFD2}" name="Porównania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A24B7B03-6143-492A-AE6F-1E98478E8C9D}" name="Table16121848754" displayName="Table16121848754" ref="U74:X94" totalsRowShown="0">
  <autoFilter ref="U74:X94" xr:uid="{A24B7B03-6143-492A-AE6F-1E98478E8C9D}"/>
  <tableColumns count="4">
    <tableColumn id="1" xr3:uid="{BB2FAAE2-128F-4BDE-B771-6BE0C13D6F2E}" name="Długość tablicy n"/>
    <tableColumn id="2" xr3:uid="{CD513F9F-D8E0-4B92-A8DD-035EE08381E0}" name="Czas (ms)"/>
    <tableColumn id="3" xr3:uid="{F943F1BB-1C55-4EE6-9B24-F2921C63A95F}" name="Przypisania"/>
    <tableColumn id="4" xr3:uid="{6D6A916D-7A4E-422F-B24A-611E20AA41BE}" name="Porównania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59E1CFA4-E7B5-4BD8-8B4E-DAFEC24F76DD}" name="Table1612131949855" displayName="Table1612131949855" ref="Z74:AC94" totalsRowShown="0">
  <autoFilter ref="Z74:AC94" xr:uid="{59E1CFA4-E7B5-4BD8-8B4E-DAFEC24F76DD}"/>
  <tableColumns count="4">
    <tableColumn id="1" xr3:uid="{42D02686-6448-4525-B4DF-C16D609A8744}" name="Długość tablicy n"/>
    <tableColumn id="2" xr3:uid="{9DA1370F-6C34-45D2-9C36-7A0AB2A6E3F9}" name="Czas (ms)" dataDxfId="16">
      <calculatedColumnFormula>AVERAGE(B75,G75,L75,Q75,V75)</calculatedColumnFormula>
    </tableColumn>
    <tableColumn id="3" xr3:uid="{CB5FBE1E-0C24-4BE7-BD03-3C4A9EFF0068}" name="Przypisania" dataDxfId="15">
      <calculatedColumnFormula>AVERAGE(C75,H75,M75,R75,W75)</calculatedColumnFormula>
    </tableColumn>
    <tableColumn id="4" xr3:uid="{8D9B4F75-C5B1-4E75-82BB-DE6E1822D86F}" name="Porównania" dataDxfId="14">
      <calculatedColumnFormula>AVERAGE(D75,I75,N75,S75,X75)</calculatedColumnFormula>
    </tableColumn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57744533-E2D8-4680-9F27-A815E6DB315A}" name="Table161444256" displayName="Table161444256" ref="A98:D118" totalsRowShown="0">
  <autoFilter ref="A98:D118" xr:uid="{57744533-E2D8-4680-9F27-A815E6DB315A}"/>
  <tableColumns count="4">
    <tableColumn id="1" xr3:uid="{1D8C256D-3B9C-417E-8C8B-66D48D055E1E}" name="Długość tablicy n"/>
    <tableColumn id="2" xr3:uid="{B0837433-D5C4-4AE8-B3F5-B4E98C7E6E18}" name="Czas (ms)"/>
    <tableColumn id="3" xr3:uid="{2DC61765-6973-4CD2-AE91-936931DE3731}" name="Przypisania"/>
    <tableColumn id="4" xr3:uid="{4EB9A073-2AB6-4CE4-96C8-0F5DA2090893}" name="Porównania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AA8F6848-4A27-40DF-BC7F-984FA3A3DB7D}" name="Table1691545357" displayName="Table1691545357" ref="F98:I118" totalsRowShown="0">
  <autoFilter ref="F98:I118" xr:uid="{AA8F6848-4A27-40DF-BC7F-984FA3A3DB7D}"/>
  <tableColumns count="4">
    <tableColumn id="1" xr3:uid="{AFA57E90-2E30-4FA4-987B-4D16F9CB20C1}" name="Długość tablicy n"/>
    <tableColumn id="2" xr3:uid="{E6601CF7-45C6-40A0-BFFB-C39773DD831A}" name="Czas (ms)" dataDxfId="13"/>
    <tableColumn id="3" xr3:uid="{BFEAAD29-6112-4FEB-93D4-D41DC52F92CA}" name="Przypisania"/>
    <tableColumn id="4" xr3:uid="{B83F2BEF-B99E-450E-8BB4-6AC3A9BC6180}" name="Porównania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2D7EC10B-18B3-4662-BB55-B0C30B892F9C}" name="Table16101646458" displayName="Table16101646458" ref="K98:N118" totalsRowShown="0">
  <autoFilter ref="K98:N118" xr:uid="{2D7EC10B-18B3-4662-BB55-B0C30B892F9C}"/>
  <tableColumns count="4">
    <tableColumn id="1" xr3:uid="{B24356BE-1BA4-4C5C-8034-5FC917463622}" name="Długość tablicy n"/>
    <tableColumn id="2" xr3:uid="{F0B6B21D-7101-4F8C-BAD8-F6602874B07A}" name="Czas (ms)"/>
    <tableColumn id="3" xr3:uid="{DD7D6900-6FA2-4A18-8124-5F2F0D306D74}" name="Przypisania" dataDxfId="12"/>
    <tableColumn id="4" xr3:uid="{C361A859-1C0E-41C8-9AB2-C197F0C8FF66}" name="Porównania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C6E5FB4C-BF0B-4A15-A032-D7A92DDA59D2}" name="Table16111747559" displayName="Table16111747559" ref="P98:S118" totalsRowShown="0">
  <autoFilter ref="P98:S118" xr:uid="{C6E5FB4C-BF0B-4A15-A032-D7A92DDA59D2}"/>
  <tableColumns count="4">
    <tableColumn id="1" xr3:uid="{66098299-2E22-4E6F-B50B-0C2B7CE15666}" name="Długość tablicy n"/>
    <tableColumn id="2" xr3:uid="{2F733B30-C638-47D2-91AF-491D446C951F}" name="Czas (ms)"/>
    <tableColumn id="3" xr3:uid="{F1E5B70E-6DEC-4AA2-8909-F2AB9CD6BEF1}" name="Przypisania"/>
    <tableColumn id="4" xr3:uid="{213AF72A-4F87-4013-AD3D-2165B9BF2D40}" name="Porównania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49E62173-9ED0-4051-86AD-078A74555631}" name="Table16121848760" displayName="Table16121848760" ref="U98:X118" totalsRowShown="0">
  <autoFilter ref="U98:X118" xr:uid="{49E62173-9ED0-4051-86AD-078A74555631}"/>
  <tableColumns count="4">
    <tableColumn id="1" xr3:uid="{5C486772-6F3E-4395-B65D-5FC767300408}" name="Długość tablicy n"/>
    <tableColumn id="2" xr3:uid="{1A143B4B-E885-4428-9704-F96F64BEB2F1}" name="Czas (ms)"/>
    <tableColumn id="3" xr3:uid="{2B1693EF-2036-42E3-B883-98485CD5996A}" name="Przypisania"/>
    <tableColumn id="4" xr3:uid="{3A878478-F8E5-4142-9C36-B1517FB2921F}" name="Porównania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E3D37E96-5A2D-444C-A665-0747F7D0F3C6}" name="Table1612131949861" displayName="Table1612131949861" ref="Z98:AC118" totalsRowShown="0">
  <autoFilter ref="Z98:AC118" xr:uid="{E3D37E96-5A2D-444C-A665-0747F7D0F3C6}"/>
  <tableColumns count="4">
    <tableColumn id="1" xr3:uid="{69D70C8C-E25E-4BB3-845D-AF93D4BDA2D8}" name="Długość tablicy n"/>
    <tableColumn id="2" xr3:uid="{101DCA86-4DEF-4986-ABDD-1E8ED4FCC76F}" name="Czas (ms)" dataDxfId="11">
      <calculatedColumnFormula>AVERAGE(B99,G99,L99,Q99,V99)</calculatedColumnFormula>
    </tableColumn>
    <tableColumn id="3" xr3:uid="{E6128C31-267F-41C9-97A2-5024E0197AA8}" name="Przypisania" dataDxfId="10">
      <calculatedColumnFormula>AVERAGE(C99,H99,M99,R99,W99)</calculatedColumnFormula>
    </tableColumn>
    <tableColumn id="4" xr3:uid="{05F68C51-4107-4682-861F-720FAE0ABACF}" name="Porównania" dataDxfId="9">
      <calculatedColumnFormula>AVERAGE(D99,I99,N99,S99,X99)</calculatedColumnFormula>
    </tableColumn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7059CE1-3009-4A54-BBBD-9E7E9AAE4101}" name="Table161438" displayName="Table161438" ref="A2:D22" totalsRowShown="0">
  <autoFilter ref="A2:D22" xr:uid="{97059CE1-3009-4A54-BBBD-9E7E9AAE4101}"/>
  <tableColumns count="4">
    <tableColumn id="1" xr3:uid="{CA0091C0-158A-491C-9409-AD6F8B666363}" name="Długość tablicy n"/>
    <tableColumn id="2" xr3:uid="{CE4CAAFA-EB3B-46FE-BDA3-7B74BFF8D0F1}" name="Czas (ms)"/>
    <tableColumn id="3" xr3:uid="{D62DA995-E6FD-493C-A6D3-7B99B0E56A1C}" name="Przypisania"/>
    <tableColumn id="4" xr3:uid="{D06D1A0C-2B82-4589-BE15-F33795A47B08}" name="Porównania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63F9B26-B90A-46F6-97A9-7B6C34D3FE7C}" name="Table1691539" displayName="Table1691539" ref="F2:I22" totalsRowShown="0">
  <autoFilter ref="F2:I22" xr:uid="{563F9B26-B90A-46F6-97A9-7B6C34D3FE7C}"/>
  <tableColumns count="4">
    <tableColumn id="1" xr3:uid="{07278202-18EB-460B-A161-634856C9B45F}" name="Długość tablicy n"/>
    <tableColumn id="2" xr3:uid="{499A8C20-ABD8-4F73-97C0-BC1684B8B6BF}" name="Czas (ms)"/>
    <tableColumn id="3" xr3:uid="{0F9AE12B-C538-4B80-A655-8FC291420FD0}" name="Przypisania"/>
    <tableColumn id="4" xr3:uid="{356EE37E-469D-44D8-801E-C61BA3EB306C}" name="Porównania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CC2C99B-DFDF-490C-A570-F1E5E6FBECD3}" name="Table16101640" displayName="Table16101640" ref="K2:N22" totalsRowShown="0">
  <autoFilter ref="K2:N22" xr:uid="{0CC2C99B-DFDF-490C-A570-F1E5E6FBECD3}"/>
  <tableColumns count="4">
    <tableColumn id="1" xr3:uid="{FE22C4F7-FDF1-496A-92F7-E2B09B2B60BA}" name="Długość tablicy n"/>
    <tableColumn id="2" xr3:uid="{75BA3537-703F-49CF-9B31-50350164531A}" name="Czas (ms)"/>
    <tableColumn id="3" xr3:uid="{832DFE21-0DEC-4FF9-9C6F-62F7F03BC3D0}" name="Przypisania"/>
    <tableColumn id="4" xr3:uid="{F99101EB-431C-464C-B987-B2B391378F4B}" name="Porównania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E26CD42-1574-4270-A2A5-16C5986783C5}" name="Table16111741" displayName="Table16111741" ref="P2:S22" totalsRowShown="0">
  <autoFilter ref="P2:S22" xr:uid="{5E26CD42-1574-4270-A2A5-16C5986783C5}"/>
  <tableColumns count="4">
    <tableColumn id="1" xr3:uid="{89226884-2D24-4E08-9C5C-F2C1AB6115E5}" name="Długość tablicy n"/>
    <tableColumn id="2" xr3:uid="{80E5FB04-26FC-45F4-B609-8663C9829FD9}" name="Czas (ms)"/>
    <tableColumn id="3" xr3:uid="{3EC0EAAA-0D8D-4BE7-BB72-6909BC1F9A2F}" name="Przypisania"/>
    <tableColumn id="4" xr3:uid="{6E884492-5F83-435C-BBDD-015D0081A0DF}" name="Porównania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5A4231D-CD97-4921-91B9-A67C5EB3E95A}" name="Table16121842" displayName="Table16121842" ref="U2:X22" totalsRowShown="0">
  <autoFilter ref="U2:X22" xr:uid="{A5A4231D-CD97-4921-91B9-A67C5EB3E95A}"/>
  <tableColumns count="4">
    <tableColumn id="1" xr3:uid="{8498548D-FA2D-4BC1-BBD4-6864AB11294A}" name="Długość tablicy n"/>
    <tableColumn id="2" xr3:uid="{8E53371E-1BCA-4DD2-8EE5-4284FECB2546}" name="Czas (ms)"/>
    <tableColumn id="3" xr3:uid="{2F0D94C3-70BA-4E22-B505-A7D55037755F}" name="Przypisania" dataDxfId="8"/>
    <tableColumn id="4" xr3:uid="{4297E2DA-CA53-4AAA-AD91-2E564D964300}" name="Porównania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3F55D76C-8312-44C2-96A5-B7228D9DC680}" name="Table1612131943" displayName="Table1612131943" ref="Z2:AC22" totalsRowShown="0">
  <autoFilter ref="Z2:AC22" xr:uid="{3F55D76C-8312-44C2-96A5-B7228D9DC680}"/>
  <tableColumns count="4">
    <tableColumn id="1" xr3:uid="{A01CF0CE-5F77-45EE-AEF2-86A2598D0DF9}" name="Array length n"/>
    <tableColumn id="2" xr3:uid="{0BD43D41-69ED-402E-91EF-2D7CDF0D1655}" name="Time" dataDxfId="7">
      <calculatedColumnFormula>AVERAGE(B3,G3,L3,Q3,V3)</calculatedColumnFormula>
    </tableColumn>
    <tableColumn id="3" xr3:uid="{0939CC0B-F91E-4699-AFE3-FD1539ADC356}" name="Assignments" dataDxfId="6">
      <calculatedColumnFormula>AVERAGE(C3,H3,M3,R3,W3)</calculatedColumnFormula>
    </tableColumn>
    <tableColumn id="4" xr3:uid="{8B993E83-44FF-47FC-A86B-8C94102D9B80}" name="Comparisons" dataDxfId="5">
      <calculatedColumnFormula>AVERAGE(D3,I3,N3,S3,X3)</calculatedColumnFormula>
    </tableColumn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84913C0-9DD7-46F5-9718-7F7AF09CF989}" name="Table1614" displayName="Table1614" ref="A2:D22" totalsRowShown="0">
  <autoFilter ref="A2:D22" xr:uid="{F84913C0-9DD7-46F5-9718-7F7AF09CF989}"/>
  <tableColumns count="4">
    <tableColumn id="1" xr3:uid="{BA61B320-9A05-4F07-A124-6A62D82CAB0F}" name="Długość tablicy n"/>
    <tableColumn id="2" xr3:uid="{4F46F57B-CA5B-42C8-B1C0-F5ACA0974ED4}" name="Czas (ms)"/>
    <tableColumn id="3" xr3:uid="{3CD7B123-88D9-4A28-9D2D-815C0BC2A662}" name="Przypisania" dataDxfId="4"/>
    <tableColumn id="4" xr3:uid="{51A369C3-4B00-4FA6-93AC-9A29D81CA390}" name="Porównania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50A2ADB-DA1E-4D90-BCAA-6A648D4A3468}" name="Table16915" displayName="Table16915" ref="F2:I22" totalsRowShown="0">
  <autoFilter ref="F2:I22" xr:uid="{850A2ADB-DA1E-4D90-BCAA-6A648D4A3468}"/>
  <tableColumns count="4">
    <tableColumn id="1" xr3:uid="{B0D74020-9AD2-4123-A171-180336E5DE31}" name="Długość tablicy n"/>
    <tableColumn id="2" xr3:uid="{69BC386E-F7B8-449D-8424-C6C00A085CFE}" name="Czas (ms)"/>
    <tableColumn id="3" xr3:uid="{246933DA-0671-43F6-8179-8D693230A5AC}" name="Przypisania"/>
    <tableColumn id="4" xr3:uid="{948649F5-3978-4925-B590-07DDF74CA6D0}" name="Porównania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A0705D-D106-4159-AE5C-E23F4B2025A5}" name="Table161016" displayName="Table161016" ref="K2:N22" totalsRowShown="0">
  <autoFilter ref="K2:N22" xr:uid="{35A0705D-D106-4159-AE5C-E23F4B2025A5}"/>
  <tableColumns count="4">
    <tableColumn id="1" xr3:uid="{E6BDA58F-428B-428F-B11A-464CC84DA77C}" name="Długość tablicy n"/>
    <tableColumn id="2" xr3:uid="{87E78A69-F984-49F9-8C18-D80D3E2C76B5}" name="Czas (ms)"/>
    <tableColumn id="3" xr3:uid="{BA49D5C3-0E9B-4BF0-8C05-DE6A05EFD75E}" name="Przypisania"/>
    <tableColumn id="4" xr3:uid="{AB7E2041-FCD1-4D58-A2D7-10B121BD9BD7}" name="Porównania" dataDxfId="3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D1BD47A-61A0-472B-BD58-E39C323B0F21}" name="Table161117" displayName="Table161117" ref="P2:S22" totalsRowShown="0">
  <autoFilter ref="P2:S22" xr:uid="{DD1BD47A-61A0-472B-BD58-E39C323B0F21}"/>
  <tableColumns count="4">
    <tableColumn id="1" xr3:uid="{ABBEA083-FB9B-439B-9D9E-C629BF8E6B72}" name="Długość tablicy n"/>
    <tableColumn id="2" xr3:uid="{FB6B0D69-E833-4E8C-9F21-FDA2883CCFFA}" name="Czas (ms)"/>
    <tableColumn id="3" xr3:uid="{815985E8-C77E-4C6C-98B6-D6CEFD2F2F1D}" name="Przypisania"/>
    <tableColumn id="4" xr3:uid="{FE6D1DDC-19E3-49CD-9FC1-82E6AC9DF113}" name="Porównania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287DDB-6679-4515-BEF5-E75EE3E56635}" name="Table161218" displayName="Table161218" ref="U2:X22" totalsRowShown="0">
  <autoFilter ref="U2:X22" xr:uid="{95287DDB-6679-4515-BEF5-E75EE3E56635}"/>
  <tableColumns count="4">
    <tableColumn id="1" xr3:uid="{BF37D174-63F7-44C9-9ACF-0796AB5F272D}" name="Długość tablicy n"/>
    <tableColumn id="2" xr3:uid="{E9CA3868-C421-4379-BBFC-891653BB5E8B}" name="Czas (ms)"/>
    <tableColumn id="3" xr3:uid="{173426C0-A52F-4E47-8987-1C5AB0AFBA93}" name="Przypisania"/>
    <tableColumn id="4" xr3:uid="{FE9DAE96-BC5C-4A8F-BF9A-8B8CDE82ABD7}" name="Porównania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A95E268-83A8-45DB-976E-A19BF616AB58}" name="Table16121319" displayName="Table16121319" ref="Z2:AC22" totalsRowShown="0">
  <autoFilter ref="Z2:AC22" xr:uid="{4A95E268-83A8-45DB-976E-A19BF616AB58}"/>
  <tableColumns count="4">
    <tableColumn id="1" xr3:uid="{8E0F5278-EC73-4ED7-B6DF-4285073AD70D}" name="Długość tablicy n"/>
    <tableColumn id="2" xr3:uid="{34116B75-9AB0-4C57-8DD0-0E8CE7C70482}" name="Czas (ms)" dataDxfId="2">
      <calculatedColumnFormula>AVERAGE(B3,G3,L3,Q3,V3)</calculatedColumnFormula>
    </tableColumn>
    <tableColumn id="3" xr3:uid="{2B71A9B3-7B26-41BF-9E68-8BCF81173BF7}" name="Przypisania" dataDxfId="1">
      <calculatedColumnFormula>AVERAGE(C3,H3,M3,R3,W3)</calculatedColumnFormula>
    </tableColumn>
    <tableColumn id="4" xr3:uid="{870CA7D7-9A63-434C-87BF-AA18C3BE3CCB}" name="Porównania" dataDxfId="0">
      <calculatedColumnFormula>AVERAGE(D3,I3,N3,S3,X3)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13" Type="http://schemas.openxmlformats.org/officeDocument/2006/relationships/table" Target="../tables/table24.xml"/><Relationship Id="rId18" Type="http://schemas.openxmlformats.org/officeDocument/2006/relationships/table" Target="../tables/table29.xml"/><Relationship Id="rId26" Type="http://schemas.openxmlformats.org/officeDocument/2006/relationships/table" Target="../tables/table37.xml"/><Relationship Id="rId3" Type="http://schemas.openxmlformats.org/officeDocument/2006/relationships/table" Target="../tables/table14.xml"/><Relationship Id="rId21" Type="http://schemas.openxmlformats.org/officeDocument/2006/relationships/table" Target="../tables/table32.xml"/><Relationship Id="rId7" Type="http://schemas.openxmlformats.org/officeDocument/2006/relationships/table" Target="../tables/table18.xml"/><Relationship Id="rId12" Type="http://schemas.openxmlformats.org/officeDocument/2006/relationships/table" Target="../tables/table23.xml"/><Relationship Id="rId17" Type="http://schemas.openxmlformats.org/officeDocument/2006/relationships/table" Target="../tables/table28.xml"/><Relationship Id="rId25" Type="http://schemas.openxmlformats.org/officeDocument/2006/relationships/table" Target="../tables/table36.xml"/><Relationship Id="rId2" Type="http://schemas.openxmlformats.org/officeDocument/2006/relationships/table" Target="../tables/table13.xml"/><Relationship Id="rId16" Type="http://schemas.openxmlformats.org/officeDocument/2006/relationships/table" Target="../tables/table27.xml"/><Relationship Id="rId20" Type="http://schemas.openxmlformats.org/officeDocument/2006/relationships/table" Target="../tables/table31.xml"/><Relationship Id="rId29" Type="http://schemas.openxmlformats.org/officeDocument/2006/relationships/table" Target="../tables/table40.xml"/><Relationship Id="rId1" Type="http://schemas.openxmlformats.org/officeDocument/2006/relationships/drawing" Target="../drawings/drawing3.xml"/><Relationship Id="rId6" Type="http://schemas.openxmlformats.org/officeDocument/2006/relationships/table" Target="../tables/table17.xml"/><Relationship Id="rId11" Type="http://schemas.openxmlformats.org/officeDocument/2006/relationships/table" Target="../tables/table22.xml"/><Relationship Id="rId24" Type="http://schemas.openxmlformats.org/officeDocument/2006/relationships/table" Target="../tables/table35.xml"/><Relationship Id="rId5" Type="http://schemas.openxmlformats.org/officeDocument/2006/relationships/table" Target="../tables/table16.xml"/><Relationship Id="rId15" Type="http://schemas.openxmlformats.org/officeDocument/2006/relationships/table" Target="../tables/table26.xml"/><Relationship Id="rId23" Type="http://schemas.openxmlformats.org/officeDocument/2006/relationships/table" Target="../tables/table34.xml"/><Relationship Id="rId28" Type="http://schemas.openxmlformats.org/officeDocument/2006/relationships/table" Target="../tables/table39.xml"/><Relationship Id="rId10" Type="http://schemas.openxmlformats.org/officeDocument/2006/relationships/table" Target="../tables/table21.xml"/><Relationship Id="rId19" Type="http://schemas.openxmlformats.org/officeDocument/2006/relationships/table" Target="../tables/table30.xml"/><Relationship Id="rId31" Type="http://schemas.openxmlformats.org/officeDocument/2006/relationships/table" Target="../tables/table42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Relationship Id="rId14" Type="http://schemas.openxmlformats.org/officeDocument/2006/relationships/table" Target="../tables/table25.xml"/><Relationship Id="rId22" Type="http://schemas.openxmlformats.org/officeDocument/2006/relationships/table" Target="../tables/table33.xml"/><Relationship Id="rId27" Type="http://schemas.openxmlformats.org/officeDocument/2006/relationships/table" Target="../tables/table38.xml"/><Relationship Id="rId30" Type="http://schemas.openxmlformats.org/officeDocument/2006/relationships/table" Target="../tables/table4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9.xml"/><Relationship Id="rId13" Type="http://schemas.openxmlformats.org/officeDocument/2006/relationships/table" Target="../tables/table54.xml"/><Relationship Id="rId18" Type="http://schemas.openxmlformats.org/officeDocument/2006/relationships/table" Target="../tables/table59.xml"/><Relationship Id="rId26" Type="http://schemas.openxmlformats.org/officeDocument/2006/relationships/table" Target="../tables/table67.xml"/><Relationship Id="rId3" Type="http://schemas.openxmlformats.org/officeDocument/2006/relationships/table" Target="../tables/table44.xml"/><Relationship Id="rId21" Type="http://schemas.openxmlformats.org/officeDocument/2006/relationships/table" Target="../tables/table62.xml"/><Relationship Id="rId7" Type="http://schemas.openxmlformats.org/officeDocument/2006/relationships/table" Target="../tables/table48.xml"/><Relationship Id="rId12" Type="http://schemas.openxmlformats.org/officeDocument/2006/relationships/table" Target="../tables/table53.xml"/><Relationship Id="rId17" Type="http://schemas.openxmlformats.org/officeDocument/2006/relationships/table" Target="../tables/table58.xml"/><Relationship Id="rId25" Type="http://schemas.openxmlformats.org/officeDocument/2006/relationships/table" Target="../tables/table66.xml"/><Relationship Id="rId2" Type="http://schemas.openxmlformats.org/officeDocument/2006/relationships/table" Target="../tables/table43.xml"/><Relationship Id="rId16" Type="http://schemas.openxmlformats.org/officeDocument/2006/relationships/table" Target="../tables/table57.xml"/><Relationship Id="rId20" Type="http://schemas.openxmlformats.org/officeDocument/2006/relationships/table" Target="../tables/table61.xml"/><Relationship Id="rId29" Type="http://schemas.openxmlformats.org/officeDocument/2006/relationships/table" Target="../tables/table70.xml"/><Relationship Id="rId1" Type="http://schemas.openxmlformats.org/officeDocument/2006/relationships/drawing" Target="../drawings/drawing4.xml"/><Relationship Id="rId6" Type="http://schemas.openxmlformats.org/officeDocument/2006/relationships/table" Target="../tables/table47.xml"/><Relationship Id="rId11" Type="http://schemas.openxmlformats.org/officeDocument/2006/relationships/table" Target="../tables/table52.xml"/><Relationship Id="rId24" Type="http://schemas.openxmlformats.org/officeDocument/2006/relationships/table" Target="../tables/table65.xml"/><Relationship Id="rId5" Type="http://schemas.openxmlformats.org/officeDocument/2006/relationships/table" Target="../tables/table46.xml"/><Relationship Id="rId15" Type="http://schemas.openxmlformats.org/officeDocument/2006/relationships/table" Target="../tables/table56.xml"/><Relationship Id="rId23" Type="http://schemas.openxmlformats.org/officeDocument/2006/relationships/table" Target="../tables/table64.xml"/><Relationship Id="rId28" Type="http://schemas.openxmlformats.org/officeDocument/2006/relationships/table" Target="../tables/table69.xml"/><Relationship Id="rId10" Type="http://schemas.openxmlformats.org/officeDocument/2006/relationships/table" Target="../tables/table51.xml"/><Relationship Id="rId19" Type="http://schemas.openxmlformats.org/officeDocument/2006/relationships/table" Target="../tables/table60.xml"/><Relationship Id="rId31" Type="http://schemas.openxmlformats.org/officeDocument/2006/relationships/table" Target="../tables/table72.xml"/><Relationship Id="rId4" Type="http://schemas.openxmlformats.org/officeDocument/2006/relationships/table" Target="../tables/table45.xml"/><Relationship Id="rId9" Type="http://schemas.openxmlformats.org/officeDocument/2006/relationships/table" Target="../tables/table50.xml"/><Relationship Id="rId14" Type="http://schemas.openxmlformats.org/officeDocument/2006/relationships/table" Target="../tables/table55.xml"/><Relationship Id="rId22" Type="http://schemas.openxmlformats.org/officeDocument/2006/relationships/table" Target="../tables/table63.xml"/><Relationship Id="rId27" Type="http://schemas.openxmlformats.org/officeDocument/2006/relationships/table" Target="../tables/table68.xml"/><Relationship Id="rId30" Type="http://schemas.openxmlformats.org/officeDocument/2006/relationships/table" Target="../tables/table7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drawing" Target="../drawings/drawing5.xml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drawing" Target="../drawings/drawing6.xml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E86A-7379-41C5-8D12-4412DAE85123}">
  <dimension ref="A1:AC44"/>
  <sheetViews>
    <sheetView topLeftCell="A52" zoomScale="94" zoomScaleNormal="90" workbookViewId="0">
      <selection activeCell="J77" sqref="J77"/>
    </sheetView>
  </sheetViews>
  <sheetFormatPr defaultRowHeight="15" x14ac:dyDescent="0.25"/>
  <cols>
    <col min="1" max="1" width="12.5703125" customWidth="1"/>
    <col min="2" max="2" width="9.5703125" customWidth="1"/>
    <col min="3" max="3" width="14.5703125" bestFit="1" customWidth="1"/>
    <col min="4" max="4" width="14.7109375" bestFit="1" customWidth="1"/>
    <col min="6" max="6" width="10.85546875" customWidth="1"/>
    <col min="8" max="8" width="14.5703125" bestFit="1" customWidth="1"/>
    <col min="9" max="9" width="14.7109375" bestFit="1" customWidth="1"/>
    <col min="11" max="11" width="11" customWidth="1"/>
    <col min="13" max="13" width="14.5703125" bestFit="1" customWidth="1"/>
    <col min="14" max="14" width="14.7109375" bestFit="1" customWidth="1"/>
    <col min="16" max="16" width="10.42578125" customWidth="1"/>
    <col min="17" max="17" width="7.7109375" bestFit="1" customWidth="1"/>
    <col min="18" max="18" width="14.5703125" bestFit="1" customWidth="1"/>
    <col min="19" max="19" width="14.7109375" bestFit="1" customWidth="1"/>
    <col min="21" max="21" width="11.5703125" customWidth="1"/>
    <col min="22" max="22" width="7.7109375" bestFit="1" customWidth="1"/>
    <col min="23" max="23" width="14.5703125" bestFit="1" customWidth="1"/>
    <col min="24" max="24" width="14.7109375" bestFit="1" customWidth="1"/>
    <col min="26" max="26" width="10.7109375" customWidth="1"/>
    <col min="27" max="27" width="7.7109375" bestFit="1" customWidth="1"/>
    <col min="28" max="28" width="14.5703125" bestFit="1" customWidth="1"/>
    <col min="29" max="29" width="14.7109375" bestFit="1" customWidth="1"/>
  </cols>
  <sheetData>
    <row r="1" spans="1:29" x14ac:dyDescent="0.25">
      <c r="A1" s="3" t="s">
        <v>28</v>
      </c>
      <c r="B1" s="3"/>
      <c r="C1" s="3"/>
      <c r="D1" s="3"/>
      <c r="F1" s="3" t="s">
        <v>29</v>
      </c>
      <c r="G1" s="3"/>
      <c r="H1" s="3"/>
      <c r="I1" s="3"/>
      <c r="K1" s="3" t="s">
        <v>30</v>
      </c>
      <c r="L1" s="3"/>
      <c r="M1" s="3"/>
      <c r="N1" s="3"/>
      <c r="P1" s="3" t="s">
        <v>31</v>
      </c>
      <c r="Q1" s="3"/>
      <c r="R1" s="3"/>
      <c r="S1" s="3"/>
      <c r="U1" s="3" t="s">
        <v>32</v>
      </c>
      <c r="V1" s="3"/>
      <c r="W1" s="3"/>
      <c r="X1" s="3"/>
      <c r="Z1" s="3" t="s">
        <v>33</v>
      </c>
      <c r="AA1" s="3"/>
      <c r="AB1" s="3"/>
      <c r="AC1" s="3"/>
    </row>
    <row r="2" spans="1:29" x14ac:dyDescent="0.25">
      <c r="A2" t="s">
        <v>24</v>
      </c>
      <c r="B2" t="s">
        <v>25</v>
      </c>
      <c r="C2" t="s">
        <v>26</v>
      </c>
      <c r="D2" t="s">
        <v>27</v>
      </c>
      <c r="F2" t="s">
        <v>24</v>
      </c>
      <c r="G2" t="s">
        <v>25</v>
      </c>
      <c r="H2" t="s">
        <v>26</v>
      </c>
      <c r="I2" t="s">
        <v>27</v>
      </c>
      <c r="K2" t="s">
        <v>24</v>
      </c>
      <c r="L2" t="s">
        <v>25</v>
      </c>
      <c r="M2" t="s">
        <v>26</v>
      </c>
      <c r="N2" t="s">
        <v>27</v>
      </c>
      <c r="P2" t="s">
        <v>24</v>
      </c>
      <c r="Q2" t="s">
        <v>25</v>
      </c>
      <c r="R2" t="s">
        <v>26</v>
      </c>
      <c r="S2" t="s">
        <v>27</v>
      </c>
      <c r="U2" t="s">
        <v>24</v>
      </c>
      <c r="V2" t="s">
        <v>25</v>
      </c>
      <c r="W2" t="s">
        <v>26</v>
      </c>
      <c r="X2" t="s">
        <v>27</v>
      </c>
      <c r="Z2" t="s">
        <v>24</v>
      </c>
      <c r="AA2" t="s">
        <v>25</v>
      </c>
      <c r="AB2" t="s">
        <v>26</v>
      </c>
      <c r="AC2" t="s">
        <v>27</v>
      </c>
    </row>
    <row r="3" spans="1:29" x14ac:dyDescent="0.25">
      <c r="A3">
        <v>5000000</v>
      </c>
      <c r="B3">
        <v>894</v>
      </c>
      <c r="C3">
        <v>167074014</v>
      </c>
      <c r="D3">
        <v>4054491</v>
      </c>
      <c r="F3">
        <v>5000000</v>
      </c>
      <c r="G3">
        <v>1436</v>
      </c>
      <c r="H3">
        <v>168108494</v>
      </c>
      <c r="I3">
        <v>4054886</v>
      </c>
      <c r="K3">
        <v>5000000</v>
      </c>
      <c r="L3">
        <v>1511</v>
      </c>
      <c r="M3">
        <v>163714626</v>
      </c>
      <c r="N3">
        <v>4054393</v>
      </c>
      <c r="P3">
        <v>5000000</v>
      </c>
      <c r="Q3">
        <v>1446</v>
      </c>
      <c r="R3">
        <v>160925334</v>
      </c>
      <c r="S3">
        <v>4054775</v>
      </c>
      <c r="U3">
        <v>5000000</v>
      </c>
      <c r="V3">
        <v>1373</v>
      </c>
      <c r="W3">
        <v>157857186</v>
      </c>
      <c r="X3">
        <v>4054667</v>
      </c>
      <c r="Z3">
        <v>5000000</v>
      </c>
      <c r="AA3">
        <f t="shared" ref="AA3:AA22" si="0">AVERAGE(B3,G3,L3,Q3,V3)</f>
        <v>1332</v>
      </c>
      <c r="AB3">
        <f t="shared" ref="AB3:AB22" si="1">AVERAGE(C3,H3,M3,R3,W3)</f>
        <v>163535930.80000001</v>
      </c>
      <c r="AC3">
        <f t="shared" ref="AC3:AC22" si="2">AVERAGE(D3,I3,N3,S3,X3)</f>
        <v>4054642.4</v>
      </c>
    </row>
    <row r="4" spans="1:29" x14ac:dyDescent="0.25">
      <c r="A4">
        <v>10000000</v>
      </c>
      <c r="B4">
        <v>1751</v>
      </c>
      <c r="C4">
        <v>379480000</v>
      </c>
      <c r="D4">
        <v>9000776</v>
      </c>
      <c r="F4">
        <v>10000000</v>
      </c>
      <c r="G4">
        <v>3002</v>
      </c>
      <c r="H4">
        <v>374179558</v>
      </c>
      <c r="I4">
        <v>9000845</v>
      </c>
      <c r="K4">
        <v>10000000</v>
      </c>
      <c r="L4">
        <v>3213</v>
      </c>
      <c r="M4">
        <v>413915064</v>
      </c>
      <c r="N4">
        <v>9000795</v>
      </c>
      <c r="P4">
        <v>10000000</v>
      </c>
      <c r="Q4">
        <v>2977</v>
      </c>
      <c r="R4">
        <v>376285696</v>
      </c>
      <c r="S4">
        <v>9000856</v>
      </c>
      <c r="U4">
        <v>10000000</v>
      </c>
      <c r="V4">
        <v>3244</v>
      </c>
      <c r="W4">
        <v>416163324</v>
      </c>
      <c r="X4">
        <v>9000821</v>
      </c>
      <c r="Z4">
        <v>10000000</v>
      </c>
      <c r="AA4">
        <f t="shared" si="0"/>
        <v>2837.4</v>
      </c>
      <c r="AB4">
        <f t="shared" si="1"/>
        <v>392004728.39999998</v>
      </c>
      <c r="AC4">
        <f t="shared" si="2"/>
        <v>9000818.5999999996</v>
      </c>
    </row>
    <row r="5" spans="1:29" x14ac:dyDescent="0.25">
      <c r="A5">
        <v>15000000</v>
      </c>
      <c r="B5">
        <v>3408</v>
      </c>
      <c r="C5">
        <v>670887126</v>
      </c>
      <c r="D5">
        <v>14000010</v>
      </c>
      <c r="F5">
        <v>15000000</v>
      </c>
      <c r="G5">
        <v>4870</v>
      </c>
      <c r="H5">
        <v>645776104</v>
      </c>
      <c r="I5">
        <v>14000008</v>
      </c>
      <c r="K5">
        <v>15000000</v>
      </c>
      <c r="L5">
        <v>5108</v>
      </c>
      <c r="M5">
        <v>678977126</v>
      </c>
      <c r="N5">
        <v>14000007</v>
      </c>
      <c r="P5">
        <v>15000000</v>
      </c>
      <c r="Q5">
        <v>4617</v>
      </c>
      <c r="R5">
        <v>622086458</v>
      </c>
      <c r="S5">
        <v>14000010</v>
      </c>
      <c r="U5">
        <v>15000000</v>
      </c>
      <c r="V5">
        <v>4855</v>
      </c>
      <c r="W5">
        <v>626918680</v>
      </c>
      <c r="X5">
        <v>14000006</v>
      </c>
      <c r="Z5">
        <v>15000000</v>
      </c>
      <c r="AA5">
        <f t="shared" si="0"/>
        <v>4571.6000000000004</v>
      </c>
      <c r="AB5">
        <f t="shared" si="1"/>
        <v>648929098.79999995</v>
      </c>
      <c r="AC5">
        <f t="shared" si="2"/>
        <v>14000008.199999999</v>
      </c>
    </row>
    <row r="6" spans="1:29" x14ac:dyDescent="0.25">
      <c r="A6">
        <v>20000000</v>
      </c>
      <c r="B6">
        <v>4114</v>
      </c>
      <c r="C6">
        <v>932646048</v>
      </c>
      <c r="D6">
        <v>19000001</v>
      </c>
      <c r="F6">
        <v>20000000</v>
      </c>
      <c r="G6">
        <v>7184</v>
      </c>
      <c r="H6">
        <v>1060716400</v>
      </c>
      <c r="I6">
        <v>19000002</v>
      </c>
      <c r="K6">
        <v>20000000</v>
      </c>
      <c r="L6">
        <v>7196</v>
      </c>
      <c r="M6">
        <v>980920924</v>
      </c>
      <c r="N6">
        <v>19000001</v>
      </c>
      <c r="P6">
        <v>20000000</v>
      </c>
      <c r="Q6">
        <v>6981</v>
      </c>
      <c r="R6">
        <v>969200386</v>
      </c>
      <c r="S6">
        <v>19000001</v>
      </c>
      <c r="U6">
        <v>20000000</v>
      </c>
      <c r="V6">
        <v>6965</v>
      </c>
      <c r="W6">
        <v>950701794</v>
      </c>
      <c r="X6">
        <v>19000001</v>
      </c>
      <c r="Z6">
        <v>20000000</v>
      </c>
      <c r="AA6">
        <f t="shared" si="0"/>
        <v>6488</v>
      </c>
      <c r="AB6">
        <f t="shared" si="1"/>
        <v>978837110.39999998</v>
      </c>
      <c r="AC6">
        <f t="shared" si="2"/>
        <v>19000001.199999999</v>
      </c>
    </row>
    <row r="7" spans="1:29" x14ac:dyDescent="0.25">
      <c r="A7">
        <v>25000000</v>
      </c>
      <c r="B7">
        <v>9486</v>
      </c>
      <c r="C7">
        <v>1341024722</v>
      </c>
      <c r="D7">
        <v>24000001</v>
      </c>
      <c r="F7">
        <v>25000000</v>
      </c>
      <c r="G7">
        <v>9423</v>
      </c>
      <c r="H7">
        <v>1395183600</v>
      </c>
      <c r="I7">
        <v>24000001</v>
      </c>
      <c r="K7">
        <v>25000000</v>
      </c>
      <c r="L7">
        <v>9466</v>
      </c>
      <c r="M7">
        <v>1322821420</v>
      </c>
      <c r="N7">
        <v>24000001</v>
      </c>
      <c r="P7">
        <v>25000000</v>
      </c>
      <c r="Q7">
        <v>9064</v>
      </c>
      <c r="R7">
        <v>1311226966</v>
      </c>
      <c r="S7">
        <v>24000001</v>
      </c>
      <c r="U7">
        <v>25000000</v>
      </c>
      <c r="V7">
        <v>9440</v>
      </c>
      <c r="W7">
        <v>1369252090</v>
      </c>
      <c r="X7">
        <v>24000001</v>
      </c>
      <c r="Z7">
        <v>25000000</v>
      </c>
      <c r="AA7">
        <f t="shared" si="0"/>
        <v>9375.7999999999993</v>
      </c>
      <c r="AB7">
        <f t="shared" si="1"/>
        <v>1347901759.5999999</v>
      </c>
      <c r="AC7">
        <f t="shared" si="2"/>
        <v>24000001</v>
      </c>
    </row>
    <row r="8" spans="1:29" x14ac:dyDescent="0.25">
      <c r="A8">
        <v>30000000</v>
      </c>
      <c r="B8">
        <v>12428</v>
      </c>
      <c r="C8">
        <v>1803110990</v>
      </c>
      <c r="D8">
        <v>29000001</v>
      </c>
      <c r="F8">
        <v>30000000</v>
      </c>
      <c r="G8">
        <v>11548</v>
      </c>
      <c r="H8">
        <v>1740899872</v>
      </c>
      <c r="I8">
        <v>29000001</v>
      </c>
      <c r="K8">
        <v>30000000</v>
      </c>
      <c r="L8">
        <v>12320</v>
      </c>
      <c r="M8">
        <v>1806284478</v>
      </c>
      <c r="N8">
        <v>29000001</v>
      </c>
      <c r="P8">
        <v>30000000</v>
      </c>
      <c r="Q8">
        <v>11849</v>
      </c>
      <c r="R8">
        <v>1766729922</v>
      </c>
      <c r="S8">
        <v>29000001</v>
      </c>
      <c r="U8">
        <v>30000000</v>
      </c>
      <c r="V8">
        <v>11973</v>
      </c>
      <c r="W8">
        <v>1758403576</v>
      </c>
      <c r="X8">
        <v>29000001</v>
      </c>
      <c r="Z8">
        <v>30000000</v>
      </c>
      <c r="AA8">
        <f t="shared" si="0"/>
        <v>12023.6</v>
      </c>
      <c r="AB8">
        <f t="shared" si="1"/>
        <v>1775085767.5999999</v>
      </c>
      <c r="AC8">
        <f t="shared" si="2"/>
        <v>29000001</v>
      </c>
    </row>
    <row r="9" spans="1:29" x14ac:dyDescent="0.25">
      <c r="A9">
        <v>35000000</v>
      </c>
      <c r="B9">
        <v>15108</v>
      </c>
      <c r="C9">
        <v>2263543552</v>
      </c>
      <c r="D9">
        <v>34000001</v>
      </c>
      <c r="F9">
        <v>35000000</v>
      </c>
      <c r="G9">
        <v>14101</v>
      </c>
      <c r="H9">
        <v>2158003320</v>
      </c>
      <c r="I9">
        <v>34000001</v>
      </c>
      <c r="K9">
        <v>35000000</v>
      </c>
      <c r="L9">
        <v>14429</v>
      </c>
      <c r="M9">
        <v>2207216310</v>
      </c>
      <c r="N9">
        <v>34000001</v>
      </c>
      <c r="P9">
        <v>35000000</v>
      </c>
      <c r="Q9">
        <v>14364</v>
      </c>
      <c r="R9">
        <v>2171192854</v>
      </c>
      <c r="S9">
        <v>34000001</v>
      </c>
      <c r="U9">
        <v>35000000</v>
      </c>
      <c r="V9">
        <v>14844</v>
      </c>
      <c r="W9">
        <v>2224792944</v>
      </c>
      <c r="X9">
        <v>34000001</v>
      </c>
      <c r="Z9">
        <v>35000000</v>
      </c>
      <c r="AA9">
        <f t="shared" si="0"/>
        <v>14569.2</v>
      </c>
      <c r="AB9">
        <f t="shared" si="1"/>
        <v>2204949796</v>
      </c>
      <c r="AC9">
        <f t="shared" si="2"/>
        <v>34000001</v>
      </c>
    </row>
    <row r="10" spans="1:29" x14ac:dyDescent="0.25">
      <c r="A10">
        <v>40000000</v>
      </c>
      <c r="B10">
        <v>18449</v>
      </c>
      <c r="C10">
        <v>2670335458</v>
      </c>
      <c r="D10">
        <v>39000001</v>
      </c>
      <c r="F10">
        <v>40000000</v>
      </c>
      <c r="G10">
        <v>17795</v>
      </c>
      <c r="H10">
        <v>2878301164</v>
      </c>
      <c r="I10">
        <v>39000001</v>
      </c>
      <c r="K10">
        <v>40000000</v>
      </c>
      <c r="L10">
        <v>9863</v>
      </c>
      <c r="M10">
        <v>2831454218</v>
      </c>
      <c r="N10">
        <v>39000001</v>
      </c>
      <c r="P10">
        <v>40000000</v>
      </c>
      <c r="Q10">
        <v>17354</v>
      </c>
      <c r="R10">
        <v>2737587550</v>
      </c>
      <c r="S10">
        <v>39000001</v>
      </c>
      <c r="U10">
        <v>40000000</v>
      </c>
      <c r="V10">
        <v>18405</v>
      </c>
      <c r="W10">
        <v>2835332928</v>
      </c>
      <c r="X10">
        <v>39000001</v>
      </c>
      <c r="Z10">
        <v>40000000</v>
      </c>
      <c r="AA10">
        <f t="shared" si="0"/>
        <v>16373.2</v>
      </c>
      <c r="AB10">
        <f t="shared" si="1"/>
        <v>2790602263.5999999</v>
      </c>
      <c r="AC10">
        <f t="shared" si="2"/>
        <v>39000001</v>
      </c>
    </row>
    <row r="11" spans="1:29" x14ac:dyDescent="0.25">
      <c r="A11">
        <v>45000000</v>
      </c>
      <c r="B11">
        <v>20824</v>
      </c>
      <c r="C11">
        <v>3370211158</v>
      </c>
      <c r="D11">
        <v>44000001</v>
      </c>
      <c r="F11">
        <v>45000000</v>
      </c>
      <c r="G11">
        <v>20144</v>
      </c>
      <c r="H11">
        <v>3237798216</v>
      </c>
      <c r="I11">
        <v>44000001</v>
      </c>
      <c r="K11">
        <v>45000000</v>
      </c>
      <c r="L11">
        <v>11265</v>
      </c>
      <c r="M11">
        <v>3257483268</v>
      </c>
      <c r="N11">
        <v>44000001</v>
      </c>
      <c r="P11">
        <v>45000000</v>
      </c>
      <c r="Q11">
        <v>20601</v>
      </c>
      <c r="R11">
        <v>3257509094</v>
      </c>
      <c r="S11">
        <v>44000001</v>
      </c>
      <c r="U11">
        <v>45000000</v>
      </c>
      <c r="V11">
        <v>20444</v>
      </c>
      <c r="W11">
        <v>3263652148</v>
      </c>
      <c r="X11">
        <v>44000001</v>
      </c>
      <c r="Z11">
        <v>45000000</v>
      </c>
      <c r="AA11">
        <f t="shared" si="0"/>
        <v>18655.599999999999</v>
      </c>
      <c r="AB11">
        <f t="shared" si="1"/>
        <v>3277330776.8000002</v>
      </c>
      <c r="AC11">
        <f t="shared" si="2"/>
        <v>44000001</v>
      </c>
    </row>
    <row r="12" spans="1:29" x14ac:dyDescent="0.25">
      <c r="A12">
        <v>50000000</v>
      </c>
      <c r="B12">
        <v>24284</v>
      </c>
      <c r="C12">
        <v>3914627650</v>
      </c>
      <c r="D12">
        <v>49000001</v>
      </c>
      <c r="F12">
        <v>50000000</v>
      </c>
      <c r="G12">
        <v>24956</v>
      </c>
      <c r="H12">
        <v>4100244276</v>
      </c>
      <c r="I12">
        <v>49000001</v>
      </c>
      <c r="K12">
        <v>50000000</v>
      </c>
      <c r="L12">
        <v>13274</v>
      </c>
      <c r="M12">
        <v>3960148850</v>
      </c>
      <c r="N12">
        <v>49000001</v>
      </c>
      <c r="P12">
        <v>50000000</v>
      </c>
      <c r="Q12">
        <v>23960</v>
      </c>
      <c r="R12">
        <v>3912825986</v>
      </c>
      <c r="S12">
        <v>49000001</v>
      </c>
      <c r="U12">
        <v>50000000</v>
      </c>
      <c r="V12">
        <v>24051</v>
      </c>
      <c r="W12">
        <v>3943052244</v>
      </c>
      <c r="X12">
        <v>49000001</v>
      </c>
      <c r="Z12">
        <v>50000000</v>
      </c>
      <c r="AA12">
        <f t="shared" si="0"/>
        <v>22105</v>
      </c>
      <c r="AB12">
        <f t="shared" si="1"/>
        <v>3966179801.1999998</v>
      </c>
      <c r="AC12">
        <f t="shared" si="2"/>
        <v>49000001</v>
      </c>
    </row>
    <row r="13" spans="1:29" x14ac:dyDescent="0.25">
      <c r="A13">
        <v>55000000</v>
      </c>
      <c r="B13">
        <v>27764</v>
      </c>
      <c r="C13">
        <v>4547445204</v>
      </c>
      <c r="D13">
        <v>54000001</v>
      </c>
      <c r="F13">
        <v>55000000</v>
      </c>
      <c r="G13">
        <v>28818</v>
      </c>
      <c r="H13">
        <v>4764479520</v>
      </c>
      <c r="I13">
        <v>54000001</v>
      </c>
      <c r="K13">
        <v>55000000</v>
      </c>
      <c r="L13">
        <v>15258</v>
      </c>
      <c r="M13">
        <v>4581704340</v>
      </c>
      <c r="N13">
        <v>54000001</v>
      </c>
      <c r="P13">
        <v>55000000</v>
      </c>
      <c r="Q13">
        <v>27878</v>
      </c>
      <c r="R13">
        <v>4575470322</v>
      </c>
      <c r="S13">
        <v>54000001</v>
      </c>
      <c r="U13">
        <v>55000000</v>
      </c>
      <c r="V13">
        <v>25880</v>
      </c>
      <c r="W13">
        <v>4597221474</v>
      </c>
      <c r="X13">
        <v>54000001</v>
      </c>
      <c r="Z13">
        <v>55000000</v>
      </c>
      <c r="AA13">
        <f t="shared" si="0"/>
        <v>25119.599999999999</v>
      </c>
      <c r="AB13">
        <f t="shared" si="1"/>
        <v>4613264172</v>
      </c>
      <c r="AC13">
        <f t="shared" si="2"/>
        <v>54000001</v>
      </c>
    </row>
    <row r="14" spans="1:29" x14ac:dyDescent="0.25">
      <c r="A14">
        <v>60000000</v>
      </c>
      <c r="B14">
        <v>32181</v>
      </c>
      <c r="C14">
        <v>5332609862</v>
      </c>
      <c r="D14">
        <v>59000001</v>
      </c>
      <c r="F14">
        <v>60000000</v>
      </c>
      <c r="G14">
        <v>31685</v>
      </c>
      <c r="H14">
        <v>5289592790</v>
      </c>
      <c r="I14">
        <v>59000001</v>
      </c>
      <c r="K14">
        <v>60000000</v>
      </c>
      <c r="L14">
        <v>17380</v>
      </c>
      <c r="M14">
        <v>5334567992</v>
      </c>
      <c r="N14">
        <v>59000001</v>
      </c>
      <c r="P14">
        <v>60000000</v>
      </c>
      <c r="Q14">
        <v>31318</v>
      </c>
      <c r="R14">
        <v>5301940026</v>
      </c>
      <c r="S14">
        <v>59000001</v>
      </c>
      <c r="U14">
        <v>60000000</v>
      </c>
      <c r="V14">
        <v>29063</v>
      </c>
      <c r="W14">
        <v>5260969608</v>
      </c>
      <c r="X14">
        <v>59000001</v>
      </c>
      <c r="Z14">
        <v>60000000</v>
      </c>
      <c r="AA14">
        <f t="shared" si="0"/>
        <v>28325.4</v>
      </c>
      <c r="AB14">
        <f t="shared" si="1"/>
        <v>5303936055.6000004</v>
      </c>
      <c r="AC14">
        <f t="shared" si="2"/>
        <v>59000001</v>
      </c>
    </row>
    <row r="15" spans="1:29" x14ac:dyDescent="0.25">
      <c r="A15">
        <v>65000000</v>
      </c>
      <c r="B15">
        <v>36702</v>
      </c>
      <c r="C15">
        <v>6162757126</v>
      </c>
      <c r="D15">
        <v>64000001</v>
      </c>
      <c r="F15">
        <v>65000000</v>
      </c>
      <c r="G15">
        <v>37129</v>
      </c>
      <c r="H15">
        <v>6105799622</v>
      </c>
      <c r="I15">
        <v>64000001</v>
      </c>
      <c r="K15">
        <v>65000000</v>
      </c>
      <c r="L15">
        <v>19145</v>
      </c>
      <c r="M15">
        <v>5917224652</v>
      </c>
      <c r="N15">
        <v>64000001</v>
      </c>
      <c r="P15">
        <v>65000000</v>
      </c>
      <c r="Q15">
        <v>35401</v>
      </c>
      <c r="R15">
        <v>6033245066</v>
      </c>
      <c r="S15">
        <v>64000001</v>
      </c>
      <c r="U15">
        <v>65000000</v>
      </c>
      <c r="V15">
        <v>34956</v>
      </c>
      <c r="W15">
        <v>5975665764</v>
      </c>
      <c r="X15">
        <v>64000001</v>
      </c>
      <c r="Z15">
        <v>65000000</v>
      </c>
      <c r="AA15">
        <f t="shared" si="0"/>
        <v>32666.6</v>
      </c>
      <c r="AB15">
        <f t="shared" si="1"/>
        <v>6038938446</v>
      </c>
      <c r="AC15">
        <f t="shared" si="2"/>
        <v>64000001</v>
      </c>
    </row>
    <row r="16" spans="1:29" x14ac:dyDescent="0.25">
      <c r="A16">
        <v>70000000</v>
      </c>
      <c r="B16">
        <v>40628</v>
      </c>
      <c r="C16">
        <v>6898546424</v>
      </c>
      <c r="D16">
        <v>69000001</v>
      </c>
      <c r="F16">
        <v>70000000</v>
      </c>
      <c r="G16">
        <v>40492</v>
      </c>
      <c r="H16">
        <v>6921697460</v>
      </c>
      <c r="I16">
        <v>69000001</v>
      </c>
      <c r="K16">
        <v>70000000</v>
      </c>
      <c r="L16">
        <v>21968</v>
      </c>
      <c r="M16">
        <v>6921987884</v>
      </c>
      <c r="N16">
        <v>69000001</v>
      </c>
      <c r="P16">
        <v>70000000</v>
      </c>
      <c r="Q16">
        <v>39544</v>
      </c>
      <c r="R16">
        <v>6866302016</v>
      </c>
      <c r="S16">
        <v>69000001</v>
      </c>
      <c r="U16">
        <v>70000000</v>
      </c>
      <c r="V16">
        <v>40014</v>
      </c>
      <c r="W16">
        <v>6871258310</v>
      </c>
      <c r="X16">
        <v>69000001</v>
      </c>
      <c r="Z16">
        <v>70000000</v>
      </c>
      <c r="AA16">
        <f t="shared" si="0"/>
        <v>36529.199999999997</v>
      </c>
      <c r="AB16">
        <f t="shared" si="1"/>
        <v>6895958418.8000002</v>
      </c>
      <c r="AC16">
        <f t="shared" si="2"/>
        <v>69000001</v>
      </c>
    </row>
    <row r="17" spans="1:29" x14ac:dyDescent="0.25">
      <c r="A17">
        <v>75000000</v>
      </c>
      <c r="B17">
        <v>45903</v>
      </c>
      <c r="C17">
        <v>7905517316</v>
      </c>
      <c r="D17">
        <v>74000001</v>
      </c>
      <c r="F17">
        <v>75000000</v>
      </c>
      <c r="G17">
        <v>33394</v>
      </c>
      <c r="H17">
        <v>7797126988</v>
      </c>
      <c r="I17">
        <v>74000001</v>
      </c>
      <c r="K17">
        <v>75000000</v>
      </c>
      <c r="L17">
        <v>24354</v>
      </c>
      <c r="M17">
        <v>7715401706</v>
      </c>
      <c r="N17">
        <v>74000001</v>
      </c>
      <c r="P17">
        <v>75000000</v>
      </c>
      <c r="Q17">
        <v>44070</v>
      </c>
      <c r="R17">
        <v>7842191706</v>
      </c>
      <c r="S17">
        <v>74000001</v>
      </c>
      <c r="U17">
        <v>75000000</v>
      </c>
      <c r="V17">
        <v>43984</v>
      </c>
      <c r="W17">
        <v>7709608122</v>
      </c>
      <c r="X17">
        <v>74000001</v>
      </c>
      <c r="Z17">
        <v>75000000</v>
      </c>
      <c r="AA17">
        <f t="shared" si="0"/>
        <v>38341</v>
      </c>
      <c r="AB17">
        <f t="shared" si="1"/>
        <v>7793969167.6000004</v>
      </c>
      <c r="AC17">
        <f t="shared" si="2"/>
        <v>74000001</v>
      </c>
    </row>
    <row r="18" spans="1:29" x14ac:dyDescent="0.25">
      <c r="A18">
        <v>80000000</v>
      </c>
      <c r="B18">
        <v>37081</v>
      </c>
      <c r="C18">
        <v>8779038772</v>
      </c>
      <c r="D18">
        <v>79000001</v>
      </c>
      <c r="F18">
        <v>80000000</v>
      </c>
      <c r="G18">
        <v>49116</v>
      </c>
      <c r="H18">
        <v>8632357364</v>
      </c>
      <c r="I18">
        <v>79000001</v>
      </c>
      <c r="K18">
        <v>80000000</v>
      </c>
      <c r="L18">
        <v>26643</v>
      </c>
      <c r="M18">
        <v>8582447362</v>
      </c>
      <c r="N18">
        <v>79000001</v>
      </c>
      <c r="P18">
        <v>80000000</v>
      </c>
      <c r="Q18">
        <v>49177</v>
      </c>
      <c r="R18">
        <v>8717408252</v>
      </c>
      <c r="S18">
        <v>79000001</v>
      </c>
      <c r="U18">
        <v>80000000</v>
      </c>
      <c r="V18">
        <v>48232</v>
      </c>
      <c r="W18">
        <v>8518682792</v>
      </c>
      <c r="X18">
        <v>79000001</v>
      </c>
      <c r="Z18">
        <v>80000000</v>
      </c>
      <c r="AA18">
        <f t="shared" si="0"/>
        <v>42049.8</v>
      </c>
      <c r="AB18">
        <f t="shared" si="1"/>
        <v>8645986908.3999996</v>
      </c>
      <c r="AC18">
        <f t="shared" si="2"/>
        <v>79000001</v>
      </c>
    </row>
    <row r="19" spans="1:29" x14ac:dyDescent="0.25">
      <c r="A19">
        <v>85000000</v>
      </c>
      <c r="B19">
        <v>53771</v>
      </c>
      <c r="C19">
        <v>9642691342</v>
      </c>
      <c r="D19">
        <v>84000001</v>
      </c>
      <c r="F19">
        <v>85000000</v>
      </c>
      <c r="G19">
        <v>53501</v>
      </c>
      <c r="H19">
        <v>9799113036</v>
      </c>
      <c r="I19">
        <v>84000001</v>
      </c>
      <c r="K19">
        <v>85000000</v>
      </c>
      <c r="L19">
        <v>41309</v>
      </c>
      <c r="M19">
        <v>9573001206</v>
      </c>
      <c r="N19">
        <v>84000001</v>
      </c>
      <c r="P19">
        <v>85000000</v>
      </c>
      <c r="Q19">
        <v>54211</v>
      </c>
      <c r="R19">
        <v>9590029614</v>
      </c>
      <c r="S19">
        <v>84000001</v>
      </c>
      <c r="U19">
        <v>85000000</v>
      </c>
      <c r="V19">
        <v>51371</v>
      </c>
      <c r="W19">
        <v>9530386006</v>
      </c>
      <c r="X19">
        <v>84000001</v>
      </c>
      <c r="Z19">
        <v>85000000</v>
      </c>
      <c r="AA19">
        <f t="shared" si="0"/>
        <v>50832.6</v>
      </c>
      <c r="AB19">
        <f t="shared" si="1"/>
        <v>9627044240.7999992</v>
      </c>
      <c r="AC19">
        <f t="shared" si="2"/>
        <v>84000001</v>
      </c>
    </row>
    <row r="20" spans="1:29" x14ac:dyDescent="0.25">
      <c r="A20">
        <v>90000000</v>
      </c>
      <c r="B20">
        <v>59149</v>
      </c>
      <c r="C20">
        <v>10764818134</v>
      </c>
      <c r="D20">
        <v>89000001</v>
      </c>
      <c r="F20">
        <v>90000000</v>
      </c>
      <c r="G20">
        <v>60747</v>
      </c>
      <c r="H20">
        <v>10787001414</v>
      </c>
      <c r="I20">
        <v>89000001</v>
      </c>
      <c r="K20">
        <v>90000000</v>
      </c>
      <c r="L20">
        <v>58868</v>
      </c>
      <c r="M20">
        <v>10592172696</v>
      </c>
      <c r="N20">
        <v>89000001</v>
      </c>
      <c r="P20">
        <v>90000000</v>
      </c>
      <c r="Q20">
        <v>59151</v>
      </c>
      <c r="R20">
        <v>10644366640</v>
      </c>
      <c r="S20">
        <v>89000001</v>
      </c>
      <c r="U20">
        <v>90000000</v>
      </c>
      <c r="V20">
        <v>58913</v>
      </c>
      <c r="W20">
        <v>10532453904</v>
      </c>
      <c r="X20">
        <v>89000001</v>
      </c>
      <c r="Z20">
        <v>90000000</v>
      </c>
      <c r="AA20">
        <f t="shared" si="0"/>
        <v>59365.599999999999</v>
      </c>
      <c r="AB20">
        <f t="shared" si="1"/>
        <v>10664162557.6</v>
      </c>
      <c r="AC20">
        <f t="shared" si="2"/>
        <v>89000001</v>
      </c>
    </row>
    <row r="21" spans="1:29" x14ac:dyDescent="0.25">
      <c r="A21">
        <v>95000000</v>
      </c>
      <c r="B21">
        <v>63653</v>
      </c>
      <c r="C21">
        <v>11640957782</v>
      </c>
      <c r="D21">
        <v>94000001</v>
      </c>
      <c r="F21">
        <v>95000000</v>
      </c>
      <c r="G21">
        <v>61416</v>
      </c>
      <c r="H21">
        <v>11610596434</v>
      </c>
      <c r="I21">
        <v>94000001</v>
      </c>
      <c r="K21">
        <v>95000000</v>
      </c>
      <c r="L21">
        <v>64465</v>
      </c>
      <c r="M21">
        <v>11801835964</v>
      </c>
      <c r="N21">
        <v>94000001</v>
      </c>
      <c r="P21">
        <v>95000000</v>
      </c>
      <c r="Q21">
        <v>57922</v>
      </c>
      <c r="R21">
        <v>11733075594</v>
      </c>
      <c r="S21">
        <v>94000001</v>
      </c>
      <c r="U21">
        <v>95000000</v>
      </c>
      <c r="V21">
        <v>64793</v>
      </c>
      <c r="W21">
        <v>11722085224</v>
      </c>
      <c r="X21">
        <v>94000001</v>
      </c>
      <c r="Z21">
        <v>95000000</v>
      </c>
      <c r="AA21">
        <f t="shared" si="0"/>
        <v>62449.8</v>
      </c>
      <c r="AB21">
        <f t="shared" si="1"/>
        <v>11701710199.6</v>
      </c>
      <c r="AC21">
        <f t="shared" si="2"/>
        <v>94000001</v>
      </c>
    </row>
    <row r="22" spans="1:29" x14ac:dyDescent="0.25">
      <c r="A22">
        <v>100000000</v>
      </c>
      <c r="B22">
        <v>70917</v>
      </c>
      <c r="C22">
        <v>13223316472</v>
      </c>
      <c r="D22">
        <v>99000001</v>
      </c>
      <c r="F22">
        <v>100000000</v>
      </c>
      <c r="G22">
        <v>73160</v>
      </c>
      <c r="H22">
        <v>13070888430</v>
      </c>
      <c r="I22">
        <v>99000001</v>
      </c>
      <c r="K22">
        <v>100000000</v>
      </c>
      <c r="L22">
        <v>57846</v>
      </c>
      <c r="M22">
        <v>12929663022</v>
      </c>
      <c r="N22">
        <v>99000001</v>
      </c>
      <c r="P22">
        <v>100000000</v>
      </c>
      <c r="Q22">
        <v>71615</v>
      </c>
      <c r="R22">
        <v>12852780324</v>
      </c>
      <c r="S22">
        <v>99000001</v>
      </c>
      <c r="U22">
        <v>100000000</v>
      </c>
      <c r="V22">
        <v>53055</v>
      </c>
      <c r="W22">
        <v>12880552484</v>
      </c>
      <c r="X22">
        <v>99000001</v>
      </c>
      <c r="Z22">
        <v>100000000</v>
      </c>
      <c r="AA22">
        <f t="shared" si="0"/>
        <v>65318.6</v>
      </c>
      <c r="AB22">
        <f t="shared" si="1"/>
        <v>12991440146.4</v>
      </c>
      <c r="AC22">
        <f t="shared" si="2"/>
        <v>99000001</v>
      </c>
    </row>
    <row r="25" spans="1:29" x14ac:dyDescent="0.25">
      <c r="A25" s="1" t="s">
        <v>4</v>
      </c>
    </row>
    <row r="26" spans="1:29" x14ac:dyDescent="0.25">
      <c r="A26" s="1" t="s">
        <v>5</v>
      </c>
    </row>
    <row r="27" spans="1:29" x14ac:dyDescent="0.25">
      <c r="A27" s="1" t="s">
        <v>6</v>
      </c>
    </row>
    <row r="28" spans="1:29" x14ac:dyDescent="0.25">
      <c r="A28" s="1" t="s">
        <v>7</v>
      </c>
    </row>
    <row r="29" spans="1:29" x14ac:dyDescent="0.25">
      <c r="A29" s="1" t="s">
        <v>8</v>
      </c>
    </row>
    <row r="30" spans="1:29" x14ac:dyDescent="0.25">
      <c r="A30" s="1" t="s">
        <v>9</v>
      </c>
    </row>
    <row r="31" spans="1:29" x14ac:dyDescent="0.25">
      <c r="A31" s="1" t="s">
        <v>10</v>
      </c>
    </row>
    <row r="32" spans="1:29" x14ac:dyDescent="0.25">
      <c r="A32" s="1" t="s">
        <v>11</v>
      </c>
    </row>
    <row r="33" spans="1:1" x14ac:dyDescent="0.25">
      <c r="A33" s="1" t="s">
        <v>12</v>
      </c>
    </row>
    <row r="34" spans="1:1" x14ac:dyDescent="0.25">
      <c r="A34" s="1" t="s">
        <v>13</v>
      </c>
    </row>
    <row r="35" spans="1:1" x14ac:dyDescent="0.25">
      <c r="A35" s="1" t="s">
        <v>14</v>
      </c>
    </row>
    <row r="36" spans="1:1" x14ac:dyDescent="0.25">
      <c r="A36" s="1" t="s">
        <v>15</v>
      </c>
    </row>
    <row r="37" spans="1:1" x14ac:dyDescent="0.25">
      <c r="A37" s="1" t="s">
        <v>16</v>
      </c>
    </row>
    <row r="38" spans="1:1" x14ac:dyDescent="0.25">
      <c r="A38" s="1" t="s">
        <v>17</v>
      </c>
    </row>
    <row r="39" spans="1:1" x14ac:dyDescent="0.25">
      <c r="A39" s="1" t="s">
        <v>18</v>
      </c>
    </row>
    <row r="40" spans="1:1" x14ac:dyDescent="0.25">
      <c r="A40" s="1" t="s">
        <v>19</v>
      </c>
    </row>
    <row r="41" spans="1:1" x14ac:dyDescent="0.25">
      <c r="A41" s="1" t="s">
        <v>20</v>
      </c>
    </row>
    <row r="42" spans="1:1" x14ac:dyDescent="0.25">
      <c r="A42" s="1" t="s">
        <v>21</v>
      </c>
    </row>
    <row r="43" spans="1:1" x14ac:dyDescent="0.25">
      <c r="A43" s="1" t="s">
        <v>22</v>
      </c>
    </row>
    <row r="44" spans="1:1" x14ac:dyDescent="0.25">
      <c r="A44" s="1" t="s">
        <v>23</v>
      </c>
    </row>
  </sheetData>
  <mergeCells count="6">
    <mergeCell ref="Z1:AC1"/>
    <mergeCell ref="A1:D1"/>
    <mergeCell ref="F1:I1"/>
    <mergeCell ref="K1:N1"/>
    <mergeCell ref="P1:S1"/>
    <mergeCell ref="U1:X1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FD31-B4F6-4621-A9C3-E2DE76F80DF1}">
  <dimension ref="A1:AC22"/>
  <sheetViews>
    <sheetView topLeftCell="A51" zoomScale="113" workbookViewId="0">
      <selection activeCell="D17" sqref="D17"/>
    </sheetView>
  </sheetViews>
  <sheetFormatPr defaultRowHeight="15" x14ac:dyDescent="0.25"/>
  <cols>
    <col min="1" max="1" width="9.85546875" customWidth="1"/>
    <col min="2" max="2" width="9.28515625" bestFit="1" customWidth="1"/>
    <col min="3" max="3" width="14.7109375" bestFit="1" customWidth="1"/>
    <col min="4" max="4" width="14.85546875" bestFit="1" customWidth="1"/>
    <col min="6" max="6" width="10.85546875" bestFit="1" customWidth="1"/>
    <col min="7" max="7" width="9.28515625" bestFit="1" customWidth="1"/>
    <col min="8" max="8" width="14.7109375" bestFit="1" customWidth="1"/>
    <col min="9" max="9" width="14.85546875" bestFit="1" customWidth="1"/>
    <col min="11" max="11" width="10.85546875" bestFit="1" customWidth="1"/>
    <col min="12" max="12" width="9.28515625" bestFit="1" customWidth="1"/>
    <col min="13" max="13" width="14.7109375" bestFit="1" customWidth="1"/>
    <col min="14" max="14" width="14.85546875" bestFit="1" customWidth="1"/>
    <col min="16" max="16" width="10.85546875" bestFit="1" customWidth="1"/>
    <col min="17" max="17" width="9.28515625" bestFit="1" customWidth="1"/>
    <col min="18" max="18" width="14.7109375" bestFit="1" customWidth="1"/>
    <col min="19" max="19" width="14.85546875" bestFit="1" customWidth="1"/>
    <col min="21" max="21" width="10.85546875" bestFit="1" customWidth="1"/>
    <col min="22" max="22" width="9.28515625" bestFit="1" customWidth="1"/>
    <col min="23" max="23" width="14.7109375" bestFit="1" customWidth="1"/>
    <col min="24" max="24" width="14.85546875" bestFit="1" customWidth="1"/>
    <col min="26" max="26" width="19.140625" bestFit="1" customWidth="1"/>
    <col min="28" max="28" width="14.5703125" bestFit="1" customWidth="1"/>
    <col min="29" max="29" width="14.7109375" bestFit="1" customWidth="1"/>
  </cols>
  <sheetData>
    <row r="1" spans="1:29" x14ac:dyDescent="0.25">
      <c r="A1" s="3" t="s">
        <v>28</v>
      </c>
      <c r="B1" s="3"/>
      <c r="C1" s="3"/>
      <c r="D1" s="3"/>
      <c r="F1" s="3" t="s">
        <v>29</v>
      </c>
      <c r="G1" s="3"/>
      <c r="H1" s="3"/>
      <c r="I1" s="3"/>
      <c r="K1" s="3" t="s">
        <v>30</v>
      </c>
      <c r="L1" s="3"/>
      <c r="M1" s="3"/>
      <c r="N1" s="3"/>
      <c r="P1" s="3" t="s">
        <v>31</v>
      </c>
      <c r="Q1" s="3"/>
      <c r="R1" s="3"/>
      <c r="S1" s="3"/>
      <c r="U1" s="3" t="s">
        <v>32</v>
      </c>
      <c r="V1" s="3"/>
      <c r="W1" s="3"/>
      <c r="X1" s="3"/>
      <c r="Z1" s="3" t="s">
        <v>33</v>
      </c>
      <c r="AA1" s="3"/>
      <c r="AB1" s="3"/>
      <c r="AC1" s="3"/>
    </row>
    <row r="2" spans="1:29" x14ac:dyDescent="0.25">
      <c r="A2" t="s">
        <v>24</v>
      </c>
      <c r="B2" t="s">
        <v>25</v>
      </c>
      <c r="C2" t="s">
        <v>26</v>
      </c>
      <c r="D2" t="s">
        <v>27</v>
      </c>
      <c r="F2" t="s">
        <v>24</v>
      </c>
      <c r="G2" t="s">
        <v>25</v>
      </c>
      <c r="H2" t="s">
        <v>26</v>
      </c>
      <c r="I2" t="s">
        <v>27</v>
      </c>
      <c r="K2" t="s">
        <v>24</v>
      </c>
      <c r="L2" t="s">
        <v>25</v>
      </c>
      <c r="M2" t="s">
        <v>26</v>
      </c>
      <c r="N2" t="s">
        <v>27</v>
      </c>
      <c r="P2" t="s">
        <v>24</v>
      </c>
      <c r="Q2" t="s">
        <v>25</v>
      </c>
      <c r="R2" t="s">
        <v>26</v>
      </c>
      <c r="S2" t="s">
        <v>27</v>
      </c>
      <c r="U2" t="s">
        <v>24</v>
      </c>
      <c r="V2" t="s">
        <v>25</v>
      </c>
      <c r="W2" t="s">
        <v>26</v>
      </c>
      <c r="X2" t="s">
        <v>27</v>
      </c>
      <c r="Z2" t="s">
        <v>24</v>
      </c>
      <c r="AA2" t="s">
        <v>25</v>
      </c>
      <c r="AB2" t="s">
        <v>26</v>
      </c>
      <c r="AC2" t="s">
        <v>27</v>
      </c>
    </row>
    <row r="3" spans="1:29" x14ac:dyDescent="0.25">
      <c r="A3">
        <v>5000000</v>
      </c>
      <c r="B3">
        <v>994</v>
      </c>
      <c r="C3">
        <v>264422998</v>
      </c>
      <c r="D3">
        <v>138156654</v>
      </c>
      <c r="F3">
        <v>5000000</v>
      </c>
      <c r="G3">
        <v>1964</v>
      </c>
      <c r="H3">
        <v>260747916</v>
      </c>
      <c r="I3">
        <v>136319255</v>
      </c>
      <c r="K3">
        <v>5000000</v>
      </c>
      <c r="L3">
        <v>953</v>
      </c>
      <c r="M3">
        <v>243601208</v>
      </c>
      <c r="N3">
        <v>127745245</v>
      </c>
      <c r="P3">
        <v>5000000</v>
      </c>
      <c r="Q3">
        <v>1004</v>
      </c>
      <c r="R3">
        <v>248850042</v>
      </c>
      <c r="S3">
        <v>130370775</v>
      </c>
      <c r="U3">
        <v>5000000</v>
      </c>
      <c r="V3">
        <v>989</v>
      </c>
      <c r="W3">
        <v>252978402</v>
      </c>
      <c r="X3">
        <v>132434933</v>
      </c>
      <c r="Z3">
        <v>5000000</v>
      </c>
      <c r="AA3">
        <f t="shared" ref="AA3:AA22" si="0">AVERAGE(B3,G3,L3,Q3,V3)</f>
        <v>1180.8</v>
      </c>
      <c r="AB3">
        <f t="shared" ref="AB3:AB22" si="1">AVERAGE(C3,H3,M3,R3,W3)</f>
        <v>254120113.19999999</v>
      </c>
      <c r="AC3">
        <f t="shared" ref="AC3:AC22" si="2">AVERAGE(D3,I3,N3,S3,X3)</f>
        <v>133005372.40000001</v>
      </c>
    </row>
    <row r="4" spans="1:29" x14ac:dyDescent="0.25">
      <c r="A4">
        <v>10000000</v>
      </c>
      <c r="B4">
        <v>1956</v>
      </c>
      <c r="C4">
        <v>509275126</v>
      </c>
      <c r="D4">
        <v>265636762</v>
      </c>
      <c r="F4">
        <v>10000000</v>
      </c>
      <c r="G4">
        <v>3672</v>
      </c>
      <c r="H4">
        <v>514376870</v>
      </c>
      <c r="I4">
        <v>268187650</v>
      </c>
      <c r="K4">
        <v>10000000</v>
      </c>
      <c r="L4">
        <v>1957</v>
      </c>
      <c r="M4">
        <v>523599242</v>
      </c>
      <c r="N4">
        <v>272798799</v>
      </c>
      <c r="P4">
        <v>10000000</v>
      </c>
      <c r="Q4">
        <v>1975</v>
      </c>
      <c r="R4">
        <v>496202866</v>
      </c>
      <c r="S4">
        <v>259100643</v>
      </c>
      <c r="U4">
        <v>10000000</v>
      </c>
      <c r="V4">
        <v>1997</v>
      </c>
      <c r="W4">
        <v>507309954</v>
      </c>
      <c r="X4">
        <v>264654173</v>
      </c>
      <c r="Z4">
        <v>10000000</v>
      </c>
      <c r="AA4">
        <f t="shared" si="0"/>
        <v>2311.4</v>
      </c>
      <c r="AB4">
        <f t="shared" si="1"/>
        <v>510152811.60000002</v>
      </c>
      <c r="AC4">
        <f t="shared" si="2"/>
        <v>266075605.40000001</v>
      </c>
    </row>
    <row r="5" spans="1:29" x14ac:dyDescent="0.25">
      <c r="A5">
        <v>15000000</v>
      </c>
      <c r="B5">
        <v>3659</v>
      </c>
      <c r="C5">
        <v>787748984</v>
      </c>
      <c r="D5">
        <v>409874489</v>
      </c>
      <c r="F5">
        <v>15000000</v>
      </c>
      <c r="G5">
        <v>5616</v>
      </c>
      <c r="H5">
        <v>769484970</v>
      </c>
      <c r="I5">
        <v>400742475</v>
      </c>
      <c r="K5">
        <v>15000000</v>
      </c>
      <c r="L5">
        <v>2878</v>
      </c>
      <c r="M5">
        <v>747494888</v>
      </c>
      <c r="N5">
        <v>389747438</v>
      </c>
      <c r="P5">
        <v>15000000</v>
      </c>
      <c r="Q5">
        <v>2985</v>
      </c>
      <c r="R5">
        <v>770327252</v>
      </c>
      <c r="S5">
        <v>401163624</v>
      </c>
      <c r="U5">
        <v>15000000</v>
      </c>
      <c r="V5">
        <v>3170</v>
      </c>
      <c r="W5">
        <v>758962052</v>
      </c>
      <c r="X5">
        <v>395481019</v>
      </c>
      <c r="Z5">
        <v>15000000</v>
      </c>
      <c r="AA5">
        <f t="shared" si="0"/>
        <v>3661.6</v>
      </c>
      <c r="AB5">
        <f t="shared" si="1"/>
        <v>766803629.20000005</v>
      </c>
      <c r="AC5">
        <f t="shared" si="2"/>
        <v>399401809</v>
      </c>
    </row>
    <row r="6" spans="1:29" x14ac:dyDescent="0.25">
      <c r="A6">
        <v>20000000</v>
      </c>
      <c r="B6">
        <v>7130</v>
      </c>
      <c r="C6">
        <v>1001473618</v>
      </c>
      <c r="D6">
        <v>521736811</v>
      </c>
      <c r="F6">
        <v>20000000</v>
      </c>
      <c r="G6">
        <v>7419</v>
      </c>
      <c r="H6">
        <v>1038790070</v>
      </c>
      <c r="I6">
        <v>540395037</v>
      </c>
      <c r="K6">
        <v>20000000</v>
      </c>
      <c r="L6">
        <v>3854</v>
      </c>
      <c r="M6">
        <v>1018498840</v>
      </c>
      <c r="N6">
        <v>530249422</v>
      </c>
      <c r="P6">
        <v>20000000</v>
      </c>
      <c r="Q6">
        <v>3935</v>
      </c>
      <c r="R6">
        <v>999822918</v>
      </c>
      <c r="S6">
        <v>520911461</v>
      </c>
      <c r="U6">
        <v>20000000</v>
      </c>
      <c r="V6">
        <v>3905</v>
      </c>
      <c r="W6">
        <v>999828052</v>
      </c>
      <c r="X6">
        <v>520914028</v>
      </c>
      <c r="Z6">
        <v>20000000</v>
      </c>
      <c r="AA6">
        <f t="shared" si="0"/>
        <v>5248.6</v>
      </c>
      <c r="AB6">
        <f t="shared" si="1"/>
        <v>1011682699.6</v>
      </c>
      <c r="AC6">
        <f t="shared" si="2"/>
        <v>526841351.80000001</v>
      </c>
    </row>
    <row r="7" spans="1:29" x14ac:dyDescent="0.25">
      <c r="A7">
        <v>25000000</v>
      </c>
      <c r="B7">
        <v>9151</v>
      </c>
      <c r="C7">
        <v>1298207930</v>
      </c>
      <c r="D7">
        <v>675103967</v>
      </c>
      <c r="F7">
        <v>25000000</v>
      </c>
      <c r="G7">
        <v>9169</v>
      </c>
      <c r="H7">
        <v>1283331584</v>
      </c>
      <c r="I7">
        <v>667665794</v>
      </c>
      <c r="K7">
        <v>25000000</v>
      </c>
      <c r="L7">
        <v>4885</v>
      </c>
      <c r="M7">
        <v>1281898156</v>
      </c>
      <c r="N7">
        <v>666949080</v>
      </c>
      <c r="P7">
        <v>25000000</v>
      </c>
      <c r="Q7">
        <v>4899</v>
      </c>
      <c r="R7">
        <v>1255622180</v>
      </c>
      <c r="S7">
        <v>653811092</v>
      </c>
      <c r="U7">
        <v>25000000</v>
      </c>
      <c r="V7">
        <v>4969</v>
      </c>
      <c r="W7">
        <v>1282325124</v>
      </c>
      <c r="X7">
        <v>667162564</v>
      </c>
      <c r="Z7">
        <v>25000000</v>
      </c>
      <c r="AA7">
        <f t="shared" si="0"/>
        <v>6614.6</v>
      </c>
      <c r="AB7">
        <f t="shared" si="1"/>
        <v>1280276994.8</v>
      </c>
      <c r="AC7">
        <f t="shared" si="2"/>
        <v>666138499.39999998</v>
      </c>
    </row>
    <row r="8" spans="1:29" x14ac:dyDescent="0.25">
      <c r="A8">
        <v>30000000</v>
      </c>
      <c r="B8">
        <v>10885</v>
      </c>
      <c r="C8">
        <v>1512974542</v>
      </c>
      <c r="D8">
        <v>787487273</v>
      </c>
      <c r="F8">
        <v>30000000</v>
      </c>
      <c r="G8">
        <v>11008</v>
      </c>
      <c r="H8">
        <v>1533021730</v>
      </c>
      <c r="I8">
        <v>797510867</v>
      </c>
      <c r="K8">
        <v>30000000</v>
      </c>
      <c r="L8">
        <v>5850</v>
      </c>
      <c r="M8">
        <v>1529633264</v>
      </c>
      <c r="N8">
        <v>795816634</v>
      </c>
      <c r="P8">
        <v>30000000</v>
      </c>
      <c r="Q8">
        <v>5853</v>
      </c>
      <c r="R8">
        <v>1507539164</v>
      </c>
      <c r="S8">
        <v>784769584</v>
      </c>
      <c r="U8">
        <v>30000000</v>
      </c>
      <c r="V8">
        <v>6181</v>
      </c>
      <c r="W8">
        <v>1644216228</v>
      </c>
      <c r="X8">
        <v>853108116</v>
      </c>
      <c r="Z8">
        <v>30000000</v>
      </c>
      <c r="AA8">
        <f t="shared" si="0"/>
        <v>7955.4</v>
      </c>
      <c r="AB8">
        <f t="shared" si="1"/>
        <v>1545476985.5999999</v>
      </c>
      <c r="AC8">
        <f t="shared" si="2"/>
        <v>803738494.79999995</v>
      </c>
    </row>
    <row r="9" spans="1:29" x14ac:dyDescent="0.25">
      <c r="A9">
        <v>35000000</v>
      </c>
      <c r="B9">
        <v>12928</v>
      </c>
      <c r="C9">
        <v>1807381900</v>
      </c>
      <c r="D9">
        <v>939690952</v>
      </c>
      <c r="F9">
        <v>35000000</v>
      </c>
      <c r="G9">
        <v>12003</v>
      </c>
      <c r="H9">
        <v>1791310644</v>
      </c>
      <c r="I9">
        <v>931655324</v>
      </c>
      <c r="K9">
        <v>35000000</v>
      </c>
      <c r="L9">
        <v>6707</v>
      </c>
      <c r="M9">
        <v>1759346544</v>
      </c>
      <c r="N9">
        <v>915673274</v>
      </c>
      <c r="P9">
        <v>35000000</v>
      </c>
      <c r="Q9">
        <v>6830</v>
      </c>
      <c r="R9">
        <v>1775989560</v>
      </c>
      <c r="S9">
        <v>923994782</v>
      </c>
      <c r="U9">
        <v>35000000</v>
      </c>
      <c r="V9">
        <v>6884</v>
      </c>
      <c r="W9">
        <v>1796581390</v>
      </c>
      <c r="X9">
        <v>934290697</v>
      </c>
      <c r="Z9">
        <v>35000000</v>
      </c>
      <c r="AA9">
        <f t="shared" si="0"/>
        <v>9070.4</v>
      </c>
      <c r="AB9">
        <f t="shared" si="1"/>
        <v>1786122007.5999999</v>
      </c>
      <c r="AC9">
        <f t="shared" si="2"/>
        <v>929061005.79999995</v>
      </c>
    </row>
    <row r="10" spans="1:29" x14ac:dyDescent="0.25">
      <c r="A10">
        <v>40000000</v>
      </c>
      <c r="B10">
        <v>14673</v>
      </c>
      <c r="C10">
        <v>2108928332</v>
      </c>
      <c r="D10">
        <v>1095464168</v>
      </c>
      <c r="F10">
        <v>40000000</v>
      </c>
      <c r="G10">
        <v>13576</v>
      </c>
      <c r="H10">
        <v>1985709404</v>
      </c>
      <c r="I10">
        <v>1033854704</v>
      </c>
      <c r="K10">
        <v>40000000</v>
      </c>
      <c r="L10">
        <v>7621</v>
      </c>
      <c r="M10">
        <v>2006893328</v>
      </c>
      <c r="N10">
        <v>1044446666</v>
      </c>
      <c r="P10">
        <v>40000000</v>
      </c>
      <c r="Q10">
        <v>8373</v>
      </c>
      <c r="R10">
        <v>2084352034</v>
      </c>
      <c r="S10">
        <v>1083176019</v>
      </c>
      <c r="U10">
        <v>40000000</v>
      </c>
      <c r="V10">
        <v>7927</v>
      </c>
      <c r="W10">
        <v>2046044476</v>
      </c>
      <c r="X10">
        <v>1064022240</v>
      </c>
      <c r="Z10">
        <v>40000000</v>
      </c>
      <c r="AA10">
        <f t="shared" si="0"/>
        <v>10434</v>
      </c>
      <c r="AB10">
        <f t="shared" si="1"/>
        <v>2046385514.8</v>
      </c>
      <c r="AC10">
        <f t="shared" si="2"/>
        <v>1064192759.4</v>
      </c>
    </row>
    <row r="11" spans="1:29" x14ac:dyDescent="0.25">
      <c r="A11">
        <v>45000000</v>
      </c>
      <c r="B11">
        <v>15109</v>
      </c>
      <c r="C11">
        <v>2254970370</v>
      </c>
      <c r="D11">
        <v>1173485187</v>
      </c>
      <c r="F11">
        <v>45000000</v>
      </c>
      <c r="G11">
        <v>16379</v>
      </c>
      <c r="H11">
        <v>2367458584</v>
      </c>
      <c r="I11">
        <v>1229729294</v>
      </c>
      <c r="K11">
        <v>45000000</v>
      </c>
      <c r="L11">
        <v>8806</v>
      </c>
      <c r="M11">
        <v>2412381906</v>
      </c>
      <c r="N11">
        <v>1252190955</v>
      </c>
      <c r="P11">
        <v>45000000</v>
      </c>
      <c r="Q11">
        <v>8835</v>
      </c>
      <c r="R11">
        <v>2286268494</v>
      </c>
      <c r="S11">
        <v>1189134249</v>
      </c>
      <c r="U11">
        <v>45000000</v>
      </c>
      <c r="V11">
        <v>8934</v>
      </c>
      <c r="W11">
        <v>2358542642</v>
      </c>
      <c r="X11">
        <v>1225271323</v>
      </c>
      <c r="Z11">
        <v>45000000</v>
      </c>
      <c r="AA11">
        <f t="shared" si="0"/>
        <v>11612.6</v>
      </c>
      <c r="AB11">
        <f t="shared" si="1"/>
        <v>2335924399.1999998</v>
      </c>
      <c r="AC11">
        <f t="shared" si="2"/>
        <v>1213962201.5999999</v>
      </c>
    </row>
    <row r="12" spans="1:29" x14ac:dyDescent="0.25">
      <c r="A12">
        <v>50000000</v>
      </c>
      <c r="B12">
        <v>11419</v>
      </c>
      <c r="C12">
        <v>2616157068</v>
      </c>
      <c r="D12">
        <v>1359078536</v>
      </c>
      <c r="F12">
        <v>50000000</v>
      </c>
      <c r="G12">
        <v>19527</v>
      </c>
      <c r="H12">
        <v>2538689208</v>
      </c>
      <c r="I12">
        <v>1320344606</v>
      </c>
      <c r="K12">
        <v>50000000</v>
      </c>
      <c r="L12">
        <v>9754</v>
      </c>
      <c r="M12">
        <v>2607301084</v>
      </c>
      <c r="N12">
        <v>1354650544</v>
      </c>
      <c r="P12">
        <v>50000000</v>
      </c>
      <c r="Q12">
        <v>10137</v>
      </c>
      <c r="R12">
        <v>2664142076</v>
      </c>
      <c r="S12">
        <v>1383071040</v>
      </c>
      <c r="U12">
        <v>50000000</v>
      </c>
      <c r="V12">
        <v>10178</v>
      </c>
      <c r="W12">
        <v>2537513842</v>
      </c>
      <c r="X12">
        <v>1319756923</v>
      </c>
      <c r="Z12">
        <v>50000000</v>
      </c>
      <c r="AA12">
        <f t="shared" si="0"/>
        <v>12203</v>
      </c>
      <c r="AB12">
        <f t="shared" si="1"/>
        <v>2592760655.5999999</v>
      </c>
      <c r="AC12">
        <f t="shared" si="2"/>
        <v>1347380329.8</v>
      </c>
    </row>
    <row r="13" spans="1:29" x14ac:dyDescent="0.25">
      <c r="A13">
        <v>55000000</v>
      </c>
      <c r="B13">
        <v>19307</v>
      </c>
      <c r="C13">
        <v>2759701324</v>
      </c>
      <c r="D13">
        <v>1435850664</v>
      </c>
      <c r="F13">
        <v>55000000</v>
      </c>
      <c r="G13">
        <v>19368</v>
      </c>
      <c r="H13">
        <v>2754573468</v>
      </c>
      <c r="I13">
        <v>1433286736</v>
      </c>
      <c r="K13">
        <v>55000000</v>
      </c>
      <c r="L13">
        <v>10591</v>
      </c>
      <c r="M13">
        <v>2831616218</v>
      </c>
      <c r="N13">
        <v>1471808111</v>
      </c>
      <c r="P13">
        <v>55000000</v>
      </c>
      <c r="Q13">
        <v>10955</v>
      </c>
      <c r="R13">
        <v>2825786172</v>
      </c>
      <c r="S13">
        <v>1468893088</v>
      </c>
      <c r="U13">
        <v>55000000</v>
      </c>
      <c r="V13">
        <v>10985</v>
      </c>
      <c r="W13">
        <v>2893309488</v>
      </c>
      <c r="X13">
        <v>1502654746</v>
      </c>
      <c r="Z13">
        <v>55000000</v>
      </c>
      <c r="AA13">
        <f t="shared" si="0"/>
        <v>14241.2</v>
      </c>
      <c r="AB13">
        <f t="shared" si="1"/>
        <v>2812997334</v>
      </c>
      <c r="AC13">
        <f t="shared" si="2"/>
        <v>1462498669</v>
      </c>
    </row>
    <row r="14" spans="1:29" x14ac:dyDescent="0.25">
      <c r="A14">
        <v>60000000</v>
      </c>
      <c r="B14">
        <v>18215</v>
      </c>
      <c r="C14">
        <v>3179210900</v>
      </c>
      <c r="D14">
        <v>1650605452</v>
      </c>
      <c r="F14">
        <v>60000000</v>
      </c>
      <c r="G14">
        <v>11690</v>
      </c>
      <c r="H14">
        <v>3115572732</v>
      </c>
      <c r="I14">
        <v>1618786368</v>
      </c>
      <c r="K14">
        <v>60000000</v>
      </c>
      <c r="L14">
        <v>11452</v>
      </c>
      <c r="M14">
        <v>2976503108</v>
      </c>
      <c r="N14">
        <v>1549251556</v>
      </c>
      <c r="P14">
        <v>60000000</v>
      </c>
      <c r="Q14">
        <v>12061</v>
      </c>
      <c r="R14">
        <v>3205735228</v>
      </c>
      <c r="S14">
        <v>1663867616</v>
      </c>
      <c r="U14">
        <v>60000000</v>
      </c>
      <c r="V14">
        <v>11957</v>
      </c>
      <c r="W14">
        <v>3138471648</v>
      </c>
      <c r="X14">
        <v>1630235826</v>
      </c>
      <c r="Z14">
        <v>60000000</v>
      </c>
      <c r="AA14">
        <f t="shared" si="0"/>
        <v>13075</v>
      </c>
      <c r="AB14">
        <f t="shared" si="1"/>
        <v>3123098723.1999998</v>
      </c>
      <c r="AC14">
        <f t="shared" si="2"/>
        <v>1622549363.5999999</v>
      </c>
    </row>
    <row r="15" spans="1:29" x14ac:dyDescent="0.25">
      <c r="A15">
        <v>65000000</v>
      </c>
      <c r="B15">
        <v>12619</v>
      </c>
      <c r="C15">
        <v>3380220146</v>
      </c>
      <c r="D15">
        <v>1756110075</v>
      </c>
      <c r="F15">
        <v>65000000</v>
      </c>
      <c r="G15">
        <v>12652</v>
      </c>
      <c r="H15">
        <v>3320881556</v>
      </c>
      <c r="I15">
        <v>1726440780</v>
      </c>
      <c r="K15">
        <v>65000000</v>
      </c>
      <c r="L15">
        <v>12393</v>
      </c>
      <c r="M15">
        <v>3338045206</v>
      </c>
      <c r="N15">
        <v>1735022605</v>
      </c>
      <c r="P15">
        <v>65000000</v>
      </c>
      <c r="Q15">
        <v>12696</v>
      </c>
      <c r="R15">
        <v>3320274376</v>
      </c>
      <c r="S15">
        <v>1726137190</v>
      </c>
      <c r="U15">
        <v>65000000</v>
      </c>
      <c r="V15">
        <v>13011</v>
      </c>
      <c r="W15">
        <v>3440899224</v>
      </c>
      <c r="X15">
        <v>1786449614</v>
      </c>
      <c r="Z15">
        <v>65000000</v>
      </c>
      <c r="AA15">
        <f t="shared" si="0"/>
        <v>12674.2</v>
      </c>
      <c r="AB15">
        <f t="shared" si="1"/>
        <v>3360064101.5999999</v>
      </c>
      <c r="AC15">
        <f t="shared" si="2"/>
        <v>1746032052.8</v>
      </c>
    </row>
    <row r="16" spans="1:29" x14ac:dyDescent="0.25">
      <c r="A16">
        <v>70000000</v>
      </c>
      <c r="B16">
        <v>13542</v>
      </c>
      <c r="C16">
        <v>3660548744</v>
      </c>
      <c r="D16">
        <v>1901274374</v>
      </c>
      <c r="F16">
        <v>70000000</v>
      </c>
      <c r="G16">
        <v>13290</v>
      </c>
      <c r="H16">
        <v>3505386912</v>
      </c>
      <c r="I16">
        <v>1823693458</v>
      </c>
      <c r="K16">
        <v>70000000</v>
      </c>
      <c r="L16">
        <v>13878</v>
      </c>
      <c r="M16">
        <v>3788472378</v>
      </c>
      <c r="N16">
        <v>1965236191</v>
      </c>
      <c r="P16">
        <v>70000000</v>
      </c>
      <c r="Q16">
        <v>13791</v>
      </c>
      <c r="R16">
        <v>3633794420</v>
      </c>
      <c r="S16">
        <v>1887897212</v>
      </c>
      <c r="U16">
        <v>70000000</v>
      </c>
      <c r="V16">
        <v>13908</v>
      </c>
      <c r="W16">
        <v>3551828594</v>
      </c>
      <c r="X16">
        <v>1846914299</v>
      </c>
      <c r="Z16">
        <v>70000000</v>
      </c>
      <c r="AA16">
        <f t="shared" si="0"/>
        <v>13681.8</v>
      </c>
      <c r="AB16">
        <f t="shared" si="1"/>
        <v>3628006209.5999999</v>
      </c>
      <c r="AC16">
        <f t="shared" si="2"/>
        <v>1885003106.8</v>
      </c>
    </row>
    <row r="17" spans="1:29" x14ac:dyDescent="0.25">
      <c r="A17">
        <v>75000000</v>
      </c>
      <c r="B17">
        <v>14614</v>
      </c>
      <c r="C17">
        <v>3973876962</v>
      </c>
      <c r="D17">
        <v>2062938483</v>
      </c>
      <c r="F17">
        <v>75000000</v>
      </c>
      <c r="G17">
        <v>14141</v>
      </c>
      <c r="H17">
        <v>3768927232</v>
      </c>
      <c r="I17">
        <v>1960463618</v>
      </c>
      <c r="K17">
        <v>75000000</v>
      </c>
      <c r="L17">
        <v>14817</v>
      </c>
      <c r="M17">
        <v>3776038754</v>
      </c>
      <c r="N17">
        <v>1964019379</v>
      </c>
      <c r="P17">
        <v>75000000</v>
      </c>
      <c r="Q17">
        <v>15094</v>
      </c>
      <c r="R17">
        <v>3800912540</v>
      </c>
      <c r="S17">
        <v>1976456272</v>
      </c>
      <c r="U17">
        <v>75000000</v>
      </c>
      <c r="V17">
        <v>14969</v>
      </c>
      <c r="W17">
        <v>3919858598</v>
      </c>
      <c r="X17">
        <v>2035929301</v>
      </c>
      <c r="Z17">
        <v>75000000</v>
      </c>
      <c r="AA17">
        <f t="shared" si="0"/>
        <v>14727</v>
      </c>
      <c r="AB17">
        <f t="shared" si="1"/>
        <v>3847922817.1999998</v>
      </c>
      <c r="AC17">
        <f t="shared" si="2"/>
        <v>1999961410.5999999</v>
      </c>
    </row>
    <row r="18" spans="1:29" x14ac:dyDescent="0.25">
      <c r="A18">
        <v>80000000</v>
      </c>
      <c r="B18">
        <v>15681</v>
      </c>
      <c r="C18">
        <v>4247127768</v>
      </c>
      <c r="D18">
        <v>2204563886</v>
      </c>
      <c r="F18">
        <v>80000000</v>
      </c>
      <c r="G18">
        <v>15259</v>
      </c>
      <c r="H18">
        <v>4017033870</v>
      </c>
      <c r="I18">
        <v>2089516937</v>
      </c>
      <c r="K18">
        <v>80000000</v>
      </c>
      <c r="L18">
        <v>15965</v>
      </c>
      <c r="M18">
        <v>4172352048</v>
      </c>
      <c r="N18">
        <v>2167176026</v>
      </c>
      <c r="P18">
        <v>80000000</v>
      </c>
      <c r="Q18">
        <v>16354</v>
      </c>
      <c r="R18">
        <v>4117644284</v>
      </c>
      <c r="S18">
        <v>2139822144</v>
      </c>
      <c r="U18">
        <v>80000000</v>
      </c>
      <c r="V18">
        <v>15771</v>
      </c>
      <c r="W18">
        <v>4147017382</v>
      </c>
      <c r="X18">
        <v>2154508693</v>
      </c>
      <c r="Z18">
        <v>80000000</v>
      </c>
      <c r="AA18">
        <f t="shared" si="0"/>
        <v>15806</v>
      </c>
      <c r="AB18">
        <f t="shared" si="1"/>
        <v>4140235070.4000001</v>
      </c>
      <c r="AC18">
        <f t="shared" si="2"/>
        <v>2151117537.1999998</v>
      </c>
    </row>
    <row r="19" spans="1:29" x14ac:dyDescent="0.25">
      <c r="A19">
        <v>85000000</v>
      </c>
      <c r="B19">
        <v>16200</v>
      </c>
      <c r="C19">
        <v>4345322784</v>
      </c>
      <c r="D19">
        <v>2258661394</v>
      </c>
      <c r="F19">
        <v>85000000</v>
      </c>
      <c r="G19">
        <v>16276</v>
      </c>
      <c r="H19">
        <v>4320422074</v>
      </c>
      <c r="I19">
        <v>2246211039</v>
      </c>
      <c r="K19">
        <v>85000000</v>
      </c>
      <c r="L19">
        <v>16849</v>
      </c>
      <c r="M19">
        <v>4371772662</v>
      </c>
      <c r="N19">
        <v>2271886333</v>
      </c>
      <c r="P19">
        <v>85000000</v>
      </c>
      <c r="Q19">
        <v>16538</v>
      </c>
      <c r="R19">
        <v>4354361328</v>
      </c>
      <c r="S19">
        <v>2263180666</v>
      </c>
      <c r="U19">
        <v>85000000</v>
      </c>
      <c r="V19">
        <v>17146</v>
      </c>
      <c r="W19">
        <v>4455701114</v>
      </c>
      <c r="X19">
        <v>2313850559</v>
      </c>
      <c r="Z19">
        <v>85000000</v>
      </c>
      <c r="AA19">
        <f t="shared" si="0"/>
        <v>16601.8</v>
      </c>
      <c r="AB19">
        <f t="shared" si="1"/>
        <v>4369515992.3999996</v>
      </c>
      <c r="AC19">
        <f t="shared" si="2"/>
        <v>2270757998.1999998</v>
      </c>
    </row>
    <row r="20" spans="1:29" x14ac:dyDescent="0.25">
      <c r="A20">
        <v>90000000</v>
      </c>
      <c r="B20">
        <v>17520</v>
      </c>
      <c r="C20">
        <v>4778357722</v>
      </c>
      <c r="D20">
        <v>2480178863</v>
      </c>
      <c r="F20">
        <v>90000000</v>
      </c>
      <c r="G20">
        <v>17339</v>
      </c>
      <c r="H20">
        <v>4674052244</v>
      </c>
      <c r="I20">
        <v>2428026124</v>
      </c>
      <c r="K20">
        <v>90000000</v>
      </c>
      <c r="L20">
        <v>18213</v>
      </c>
      <c r="M20">
        <v>4663576064</v>
      </c>
      <c r="N20">
        <v>2422788034</v>
      </c>
      <c r="P20">
        <v>90000000</v>
      </c>
      <c r="Q20">
        <v>17779</v>
      </c>
      <c r="R20">
        <v>4526905404</v>
      </c>
      <c r="S20">
        <v>2354452704</v>
      </c>
      <c r="U20">
        <v>90000000</v>
      </c>
      <c r="V20">
        <v>18233</v>
      </c>
      <c r="W20">
        <v>4806602440</v>
      </c>
      <c r="X20">
        <v>2494301222</v>
      </c>
      <c r="Z20">
        <v>90000000</v>
      </c>
      <c r="AA20">
        <f t="shared" si="0"/>
        <v>17816.8</v>
      </c>
      <c r="AB20">
        <f t="shared" si="1"/>
        <v>4689898774.8000002</v>
      </c>
      <c r="AC20">
        <f t="shared" si="2"/>
        <v>2435949389.4000001</v>
      </c>
    </row>
    <row r="21" spans="1:29" x14ac:dyDescent="0.25">
      <c r="A21">
        <v>95000000</v>
      </c>
      <c r="B21">
        <v>23345</v>
      </c>
      <c r="C21">
        <v>4859435330</v>
      </c>
      <c r="D21">
        <v>2525717667</v>
      </c>
      <c r="F21">
        <v>95000000</v>
      </c>
      <c r="G21">
        <v>18069</v>
      </c>
      <c r="H21">
        <v>4787392986</v>
      </c>
      <c r="I21">
        <v>2489696495</v>
      </c>
      <c r="K21">
        <v>95000000</v>
      </c>
      <c r="L21">
        <v>18520</v>
      </c>
      <c r="M21">
        <v>4811593298</v>
      </c>
      <c r="N21">
        <v>2501796651</v>
      </c>
      <c r="P21">
        <v>95000000</v>
      </c>
      <c r="Q21">
        <v>19096</v>
      </c>
      <c r="R21">
        <v>5039251130</v>
      </c>
      <c r="S21">
        <v>2615625567</v>
      </c>
      <c r="U21">
        <v>95000000</v>
      </c>
      <c r="V21">
        <v>19520</v>
      </c>
      <c r="W21">
        <v>5183272586</v>
      </c>
      <c r="X21">
        <v>2687636295</v>
      </c>
      <c r="Z21">
        <v>95000000</v>
      </c>
      <c r="AA21">
        <f t="shared" si="0"/>
        <v>19710</v>
      </c>
      <c r="AB21">
        <f t="shared" si="1"/>
        <v>4936189066</v>
      </c>
      <c r="AC21">
        <f t="shared" si="2"/>
        <v>2564094535</v>
      </c>
    </row>
    <row r="22" spans="1:29" x14ac:dyDescent="0.25">
      <c r="A22">
        <v>100000000</v>
      </c>
      <c r="B22">
        <v>38531</v>
      </c>
      <c r="C22">
        <v>5490235984</v>
      </c>
      <c r="D22">
        <v>2846117994</v>
      </c>
      <c r="F22">
        <v>100000000</v>
      </c>
      <c r="G22">
        <v>19304</v>
      </c>
      <c r="H22">
        <v>5131464200</v>
      </c>
      <c r="I22">
        <v>2666732102</v>
      </c>
      <c r="K22">
        <v>100000000</v>
      </c>
      <c r="L22">
        <v>19399</v>
      </c>
      <c r="M22">
        <v>5003294080</v>
      </c>
      <c r="N22">
        <v>2602647042</v>
      </c>
      <c r="P22">
        <v>100000000</v>
      </c>
      <c r="Q22">
        <v>20115</v>
      </c>
      <c r="R22">
        <v>5040268200</v>
      </c>
      <c r="S22">
        <v>2621134102</v>
      </c>
      <c r="U22">
        <v>100000000</v>
      </c>
      <c r="V22">
        <v>19418</v>
      </c>
      <c r="W22">
        <v>5050946630</v>
      </c>
      <c r="X22">
        <v>2626473317</v>
      </c>
      <c r="Z22">
        <v>100000000</v>
      </c>
      <c r="AA22">
        <f t="shared" si="0"/>
        <v>23353.4</v>
      </c>
      <c r="AB22">
        <f t="shared" si="1"/>
        <v>5143241818.8000002</v>
      </c>
      <c r="AC22">
        <f t="shared" si="2"/>
        <v>2672620911.4000001</v>
      </c>
    </row>
  </sheetData>
  <mergeCells count="6">
    <mergeCell ref="Z1:AC1"/>
    <mergeCell ref="A1:D1"/>
    <mergeCell ref="F1:I1"/>
    <mergeCell ref="K1:N1"/>
    <mergeCell ref="P1:S1"/>
    <mergeCell ref="U1:X1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024D-44F6-407C-9738-E24B50360711}">
  <dimension ref="A1:AC118"/>
  <sheetViews>
    <sheetView topLeftCell="Y50" zoomScale="98" zoomScaleNormal="95" workbookViewId="0">
      <selection activeCell="AR23" sqref="AR23"/>
    </sheetView>
  </sheetViews>
  <sheetFormatPr defaultRowHeight="15" x14ac:dyDescent="0.25"/>
  <cols>
    <col min="1" max="1" width="14" customWidth="1"/>
    <col min="3" max="3" width="14.5703125" bestFit="1" customWidth="1"/>
    <col min="4" max="4" width="14.7109375" bestFit="1" customWidth="1"/>
    <col min="6" max="6" width="12.85546875" customWidth="1"/>
    <col min="8" max="8" width="14.5703125" bestFit="1" customWidth="1"/>
    <col min="9" max="9" width="14.7109375" bestFit="1" customWidth="1"/>
    <col min="11" max="11" width="12.42578125" customWidth="1"/>
    <col min="13" max="13" width="14.5703125" bestFit="1" customWidth="1"/>
    <col min="14" max="14" width="14.7109375" bestFit="1" customWidth="1"/>
    <col min="16" max="16" width="15.85546875" bestFit="1" customWidth="1"/>
    <col min="18" max="18" width="14.5703125" bestFit="1" customWidth="1"/>
    <col min="19" max="19" width="14.7109375" bestFit="1" customWidth="1"/>
    <col min="21" max="21" width="11" customWidth="1"/>
    <col min="22" max="22" width="7.7109375" bestFit="1" customWidth="1"/>
    <col min="23" max="23" width="14.5703125" bestFit="1" customWidth="1"/>
    <col min="24" max="24" width="14.7109375" bestFit="1" customWidth="1"/>
    <col min="26" max="26" width="13.42578125" customWidth="1"/>
    <col min="28" max="29" width="15.140625" bestFit="1" customWidth="1"/>
  </cols>
  <sheetData>
    <row r="1" spans="1:29" x14ac:dyDescent="0.25">
      <c r="A1" s="3" t="s">
        <v>34</v>
      </c>
      <c r="B1" s="3"/>
      <c r="C1" s="3"/>
      <c r="D1" s="3"/>
      <c r="F1" s="3" t="s">
        <v>34</v>
      </c>
      <c r="G1" s="3"/>
      <c r="H1" s="3"/>
      <c r="I1" s="3"/>
      <c r="K1" s="3" t="s">
        <v>34</v>
      </c>
      <c r="L1" s="3"/>
      <c r="M1" s="3"/>
      <c r="N1" s="3"/>
      <c r="P1" s="3" t="s">
        <v>34</v>
      </c>
      <c r="Q1" s="3"/>
      <c r="R1" s="3"/>
      <c r="S1" s="3"/>
      <c r="U1" s="3" t="s">
        <v>34</v>
      </c>
      <c r="V1" s="3"/>
      <c r="W1" s="3"/>
      <c r="X1" s="3"/>
      <c r="Z1" s="3" t="s">
        <v>35</v>
      </c>
      <c r="AA1" s="3"/>
      <c r="AB1" s="3"/>
      <c r="AC1" s="3"/>
    </row>
    <row r="2" spans="1:29" x14ac:dyDescent="0.25">
      <c r="A2" t="s">
        <v>24</v>
      </c>
      <c r="B2" t="s">
        <v>25</v>
      </c>
      <c r="C2" t="s">
        <v>26</v>
      </c>
      <c r="D2" t="s">
        <v>27</v>
      </c>
      <c r="F2" t="s">
        <v>24</v>
      </c>
      <c r="G2" t="s">
        <v>25</v>
      </c>
      <c r="H2" t="s">
        <v>26</v>
      </c>
      <c r="I2" t="s">
        <v>27</v>
      </c>
      <c r="K2" t="s">
        <v>24</v>
      </c>
      <c r="L2" t="s">
        <v>25</v>
      </c>
      <c r="M2" t="s">
        <v>26</v>
      </c>
      <c r="N2" t="s">
        <v>27</v>
      </c>
      <c r="P2" t="s">
        <v>24</v>
      </c>
      <c r="Q2" t="s">
        <v>25</v>
      </c>
      <c r="R2" t="s">
        <v>26</v>
      </c>
      <c r="S2" t="s">
        <v>27</v>
      </c>
      <c r="U2" t="s">
        <v>24</v>
      </c>
      <c r="V2" t="s">
        <v>25</v>
      </c>
      <c r="W2" t="s">
        <v>26</v>
      </c>
      <c r="X2" t="s">
        <v>27</v>
      </c>
      <c r="Z2" t="s">
        <v>24</v>
      </c>
      <c r="AA2" t="s">
        <v>25</v>
      </c>
      <c r="AB2" t="s">
        <v>26</v>
      </c>
      <c r="AC2" t="s">
        <v>27</v>
      </c>
    </row>
    <row r="3" spans="1:29" x14ac:dyDescent="0.25">
      <c r="A3">
        <v>500000</v>
      </c>
      <c r="B3">
        <v>207</v>
      </c>
      <c r="C3">
        <v>38000019</v>
      </c>
      <c r="D3">
        <v>13</v>
      </c>
      <c r="F3">
        <v>500000</v>
      </c>
      <c r="G3">
        <v>203</v>
      </c>
      <c r="H3">
        <v>18518004059</v>
      </c>
      <c r="I3">
        <v>1332</v>
      </c>
      <c r="K3">
        <v>500000</v>
      </c>
      <c r="L3">
        <v>202</v>
      </c>
      <c r="M3">
        <v>36998008099</v>
      </c>
      <c r="N3">
        <v>2625</v>
      </c>
      <c r="P3">
        <v>500000</v>
      </c>
      <c r="Q3">
        <v>203</v>
      </c>
      <c r="R3">
        <v>55478012139</v>
      </c>
      <c r="S3">
        <v>3965</v>
      </c>
      <c r="U3">
        <v>500000</v>
      </c>
      <c r="V3">
        <v>197</v>
      </c>
      <c r="W3">
        <v>73958016179</v>
      </c>
      <c r="X3">
        <v>5263</v>
      </c>
      <c r="Z3">
        <v>500000</v>
      </c>
      <c r="AA3">
        <f t="shared" ref="AA3:AA22" si="0">AVERAGE(B3,G3,L3,Q3,V3)</f>
        <v>202.4</v>
      </c>
      <c r="AB3">
        <f t="shared" ref="AB3:AB22" si="1">AVERAGE(C3,H3,M3,R3,W3)</f>
        <v>36998008099</v>
      </c>
      <c r="AC3">
        <f t="shared" ref="AC3:AC22" si="2">AVERAGE(D3,I3,N3,S3,X3)</f>
        <v>2639.6</v>
      </c>
    </row>
    <row r="4" spans="1:29" x14ac:dyDescent="0.25">
      <c r="A4">
        <v>1000000</v>
      </c>
      <c r="B4">
        <v>411</v>
      </c>
      <c r="C4">
        <v>114000038</v>
      </c>
      <c r="D4">
        <v>20</v>
      </c>
      <c r="F4">
        <v>1000000</v>
      </c>
      <c r="G4">
        <v>403</v>
      </c>
      <c r="H4">
        <v>18594004078</v>
      </c>
      <c r="I4">
        <v>1343</v>
      </c>
      <c r="K4">
        <v>1000000</v>
      </c>
      <c r="L4">
        <v>388</v>
      </c>
      <c r="M4">
        <v>37074008118</v>
      </c>
      <c r="N4">
        <v>2636</v>
      </c>
      <c r="P4">
        <v>1000000</v>
      </c>
      <c r="Q4">
        <v>395</v>
      </c>
      <c r="R4">
        <v>55554012158</v>
      </c>
      <c r="S4">
        <v>3977</v>
      </c>
      <c r="U4">
        <v>1000000</v>
      </c>
      <c r="V4">
        <v>395</v>
      </c>
      <c r="W4">
        <v>74034016198</v>
      </c>
      <c r="X4">
        <v>5282</v>
      </c>
      <c r="Z4">
        <v>1000000</v>
      </c>
      <c r="AA4">
        <f t="shared" si="0"/>
        <v>398.4</v>
      </c>
      <c r="AB4">
        <f t="shared" si="1"/>
        <v>37074008118</v>
      </c>
      <c r="AC4">
        <f t="shared" si="2"/>
        <v>2651.6</v>
      </c>
    </row>
    <row r="5" spans="1:29" x14ac:dyDescent="0.25">
      <c r="A5">
        <v>1500000</v>
      </c>
      <c r="B5">
        <v>613</v>
      </c>
      <c r="C5">
        <v>228000057</v>
      </c>
      <c r="D5">
        <v>32</v>
      </c>
      <c r="F5">
        <v>1500000</v>
      </c>
      <c r="G5">
        <v>608</v>
      </c>
      <c r="H5">
        <v>18708004097</v>
      </c>
      <c r="I5">
        <v>1360</v>
      </c>
      <c r="K5">
        <v>1500000</v>
      </c>
      <c r="L5">
        <v>598</v>
      </c>
      <c r="M5">
        <v>37188008137</v>
      </c>
      <c r="N5">
        <v>2650</v>
      </c>
      <c r="P5">
        <v>1500000</v>
      </c>
      <c r="Q5">
        <v>601</v>
      </c>
      <c r="R5">
        <v>55668012177</v>
      </c>
      <c r="S5">
        <v>3985</v>
      </c>
      <c r="U5">
        <v>1500000</v>
      </c>
      <c r="V5">
        <v>595</v>
      </c>
      <c r="W5">
        <v>74148016217</v>
      </c>
      <c r="X5">
        <v>5295</v>
      </c>
      <c r="Z5">
        <v>1500000</v>
      </c>
      <c r="AA5">
        <f t="shared" si="0"/>
        <v>603</v>
      </c>
      <c r="AB5">
        <f t="shared" si="1"/>
        <v>37188008137</v>
      </c>
      <c r="AC5">
        <f t="shared" si="2"/>
        <v>2664.4</v>
      </c>
    </row>
    <row r="6" spans="1:29" x14ac:dyDescent="0.25">
      <c r="A6">
        <v>2000000</v>
      </c>
      <c r="B6">
        <v>825</v>
      </c>
      <c r="C6">
        <v>380000076</v>
      </c>
      <c r="D6">
        <v>43</v>
      </c>
      <c r="F6">
        <v>2000000</v>
      </c>
      <c r="G6">
        <v>777</v>
      </c>
      <c r="H6">
        <v>18860004116</v>
      </c>
      <c r="I6">
        <v>1380</v>
      </c>
      <c r="K6">
        <v>2000000</v>
      </c>
      <c r="L6">
        <v>774</v>
      </c>
      <c r="M6">
        <v>37340008156</v>
      </c>
      <c r="N6">
        <v>2664</v>
      </c>
      <c r="P6">
        <v>2000000</v>
      </c>
      <c r="Q6">
        <v>794</v>
      </c>
      <c r="R6">
        <v>55820012196</v>
      </c>
      <c r="S6">
        <v>4000</v>
      </c>
      <c r="U6">
        <v>2000000</v>
      </c>
      <c r="V6">
        <v>780</v>
      </c>
      <c r="W6">
        <v>74300016236</v>
      </c>
      <c r="X6">
        <v>5316</v>
      </c>
      <c r="Z6">
        <v>2000000</v>
      </c>
      <c r="AA6">
        <f t="shared" si="0"/>
        <v>790</v>
      </c>
      <c r="AB6">
        <f t="shared" si="1"/>
        <v>37340008156</v>
      </c>
      <c r="AC6">
        <f t="shared" si="2"/>
        <v>2680.6</v>
      </c>
    </row>
    <row r="7" spans="1:29" x14ac:dyDescent="0.25">
      <c r="A7">
        <v>2500000</v>
      </c>
      <c r="B7">
        <v>1020</v>
      </c>
      <c r="C7">
        <v>570000095</v>
      </c>
      <c r="D7">
        <v>58</v>
      </c>
      <c r="F7">
        <v>2500000</v>
      </c>
      <c r="G7">
        <v>996</v>
      </c>
      <c r="H7">
        <v>19050004135</v>
      </c>
      <c r="I7">
        <v>1392</v>
      </c>
      <c r="K7">
        <v>2500000</v>
      </c>
      <c r="L7">
        <v>993</v>
      </c>
      <c r="M7">
        <v>37530008175</v>
      </c>
      <c r="N7">
        <v>2679</v>
      </c>
      <c r="P7">
        <v>2500000</v>
      </c>
      <c r="Q7">
        <v>972</v>
      </c>
      <c r="R7">
        <v>56010012215</v>
      </c>
      <c r="S7">
        <v>4013</v>
      </c>
      <c r="U7">
        <v>2500000</v>
      </c>
      <c r="V7">
        <v>978</v>
      </c>
      <c r="W7">
        <v>74490016255</v>
      </c>
      <c r="X7">
        <v>5327</v>
      </c>
      <c r="Z7">
        <v>2500000</v>
      </c>
      <c r="AA7">
        <f t="shared" si="0"/>
        <v>991.8</v>
      </c>
      <c r="AB7">
        <f t="shared" si="1"/>
        <v>37530008175</v>
      </c>
      <c r="AC7">
        <f t="shared" si="2"/>
        <v>2693.8</v>
      </c>
    </row>
    <row r="8" spans="1:29" x14ac:dyDescent="0.25">
      <c r="A8">
        <v>3000000</v>
      </c>
      <c r="B8">
        <v>1225</v>
      </c>
      <c r="C8">
        <v>798000114</v>
      </c>
      <c r="D8">
        <v>71</v>
      </c>
      <c r="F8">
        <v>3000000</v>
      </c>
      <c r="G8">
        <v>1166</v>
      </c>
      <c r="H8">
        <v>19278004154</v>
      </c>
      <c r="I8">
        <v>1400</v>
      </c>
      <c r="K8">
        <v>3000000</v>
      </c>
      <c r="L8">
        <v>1194</v>
      </c>
      <c r="M8">
        <v>37758008194</v>
      </c>
      <c r="N8">
        <v>2697</v>
      </c>
      <c r="P8">
        <v>3000000</v>
      </c>
      <c r="Q8">
        <v>1191</v>
      </c>
      <c r="R8">
        <v>56238012234</v>
      </c>
      <c r="S8">
        <v>4027</v>
      </c>
      <c r="U8">
        <v>3000000</v>
      </c>
      <c r="V8">
        <v>1184</v>
      </c>
      <c r="W8">
        <v>74718016274</v>
      </c>
      <c r="X8">
        <v>5337</v>
      </c>
      <c r="Z8">
        <v>3000000</v>
      </c>
      <c r="AA8">
        <f t="shared" si="0"/>
        <v>1192</v>
      </c>
      <c r="AB8">
        <f t="shared" si="1"/>
        <v>37758008194</v>
      </c>
      <c r="AC8">
        <f t="shared" si="2"/>
        <v>2706.4</v>
      </c>
    </row>
    <row r="9" spans="1:29" x14ac:dyDescent="0.25">
      <c r="A9">
        <v>3500000</v>
      </c>
      <c r="B9">
        <v>1409</v>
      </c>
      <c r="C9">
        <v>1064000133</v>
      </c>
      <c r="D9">
        <v>78</v>
      </c>
      <c r="F9">
        <v>3500000</v>
      </c>
      <c r="G9">
        <v>1378</v>
      </c>
      <c r="H9">
        <v>19544004173</v>
      </c>
      <c r="I9">
        <v>1411</v>
      </c>
      <c r="K9">
        <v>3500000</v>
      </c>
      <c r="L9">
        <v>1388</v>
      </c>
      <c r="M9">
        <v>38024008213</v>
      </c>
      <c r="N9">
        <v>2706</v>
      </c>
      <c r="P9">
        <v>3500000</v>
      </c>
      <c r="Q9">
        <v>1390</v>
      </c>
      <c r="R9">
        <v>56504012253</v>
      </c>
      <c r="S9">
        <v>4037</v>
      </c>
      <c r="U9">
        <v>3500000</v>
      </c>
      <c r="V9">
        <v>1389</v>
      </c>
      <c r="W9">
        <v>74984016293</v>
      </c>
      <c r="X9">
        <v>5347</v>
      </c>
      <c r="Z9">
        <v>3500000</v>
      </c>
      <c r="AA9">
        <f t="shared" si="0"/>
        <v>1390.8</v>
      </c>
      <c r="AB9">
        <f t="shared" si="1"/>
        <v>38024008213</v>
      </c>
      <c r="AC9">
        <f t="shared" si="2"/>
        <v>2715.8</v>
      </c>
    </row>
    <row r="10" spans="1:29" x14ac:dyDescent="0.25">
      <c r="A10">
        <v>4000000</v>
      </c>
      <c r="B10">
        <v>1618</v>
      </c>
      <c r="C10">
        <v>1368000152</v>
      </c>
      <c r="D10">
        <v>92</v>
      </c>
      <c r="F10">
        <v>4000000</v>
      </c>
      <c r="G10">
        <v>1580</v>
      </c>
      <c r="H10">
        <v>19848004192</v>
      </c>
      <c r="I10">
        <v>1422</v>
      </c>
      <c r="K10">
        <v>4000000</v>
      </c>
      <c r="L10">
        <v>1591</v>
      </c>
      <c r="M10">
        <v>38328008232</v>
      </c>
      <c r="N10">
        <v>2724</v>
      </c>
      <c r="P10">
        <v>4000000</v>
      </c>
      <c r="Q10">
        <v>1592</v>
      </c>
      <c r="R10">
        <v>56808012272</v>
      </c>
      <c r="S10">
        <v>4052</v>
      </c>
      <c r="U10">
        <v>4000000</v>
      </c>
      <c r="V10">
        <v>1624</v>
      </c>
      <c r="W10">
        <v>75288016312</v>
      </c>
      <c r="X10">
        <v>5360</v>
      </c>
      <c r="Z10">
        <v>4000000</v>
      </c>
      <c r="AA10">
        <f t="shared" si="0"/>
        <v>1601</v>
      </c>
      <c r="AB10">
        <f t="shared" si="1"/>
        <v>38328008232</v>
      </c>
      <c r="AC10">
        <f t="shared" si="2"/>
        <v>2730</v>
      </c>
    </row>
    <row r="11" spans="1:29" x14ac:dyDescent="0.25">
      <c r="A11">
        <v>4500000</v>
      </c>
      <c r="B11">
        <v>1801</v>
      </c>
      <c r="C11">
        <v>1710000171</v>
      </c>
      <c r="D11">
        <v>102</v>
      </c>
      <c r="F11">
        <v>4500000</v>
      </c>
      <c r="G11">
        <v>1778</v>
      </c>
      <c r="H11">
        <v>20190004211</v>
      </c>
      <c r="I11">
        <v>1434</v>
      </c>
      <c r="K11">
        <v>4500000</v>
      </c>
      <c r="L11">
        <v>1770</v>
      </c>
      <c r="M11">
        <v>38670008251</v>
      </c>
      <c r="N11">
        <v>2733</v>
      </c>
      <c r="P11">
        <v>4500000</v>
      </c>
      <c r="Q11">
        <v>1783</v>
      </c>
      <c r="R11">
        <v>57150012291</v>
      </c>
      <c r="S11">
        <v>4066</v>
      </c>
      <c r="U11">
        <v>4500000</v>
      </c>
      <c r="V11">
        <v>1792</v>
      </c>
      <c r="W11">
        <v>75630016331</v>
      </c>
      <c r="X11">
        <v>5377</v>
      </c>
      <c r="Z11">
        <v>4500000</v>
      </c>
      <c r="AA11">
        <f t="shared" si="0"/>
        <v>1784.8</v>
      </c>
      <c r="AB11">
        <f t="shared" si="1"/>
        <v>38670008251</v>
      </c>
      <c r="AC11">
        <f t="shared" si="2"/>
        <v>2742.4</v>
      </c>
    </row>
    <row r="12" spans="1:29" x14ac:dyDescent="0.25">
      <c r="A12">
        <v>5000000</v>
      </c>
      <c r="B12">
        <v>2007</v>
      </c>
      <c r="C12">
        <v>2090000190</v>
      </c>
      <c r="D12">
        <v>115</v>
      </c>
      <c r="F12">
        <v>5000000</v>
      </c>
      <c r="G12">
        <v>1969</v>
      </c>
      <c r="H12">
        <v>20570004230</v>
      </c>
      <c r="I12">
        <v>1447</v>
      </c>
      <c r="K12">
        <v>5000000</v>
      </c>
      <c r="L12">
        <v>1982</v>
      </c>
      <c r="M12">
        <v>39050008270</v>
      </c>
      <c r="N12">
        <v>2750</v>
      </c>
      <c r="P12">
        <v>5000000</v>
      </c>
      <c r="Q12">
        <v>1981</v>
      </c>
      <c r="R12">
        <v>57530012310</v>
      </c>
      <c r="S12">
        <v>4079</v>
      </c>
      <c r="U12">
        <v>5000000</v>
      </c>
      <c r="V12">
        <v>1972</v>
      </c>
      <c r="W12">
        <v>76010016350</v>
      </c>
      <c r="X12">
        <v>5390</v>
      </c>
      <c r="Z12">
        <v>5000000</v>
      </c>
      <c r="AA12">
        <f t="shared" si="0"/>
        <v>1982.2</v>
      </c>
      <c r="AB12">
        <f t="shared" si="1"/>
        <v>39050008270</v>
      </c>
      <c r="AC12">
        <f t="shared" si="2"/>
        <v>2756.2</v>
      </c>
    </row>
    <row r="13" spans="1:29" x14ac:dyDescent="0.25">
      <c r="A13">
        <v>5500000</v>
      </c>
      <c r="B13">
        <v>2163</v>
      </c>
      <c r="C13">
        <v>2508000209</v>
      </c>
      <c r="D13">
        <v>132</v>
      </c>
      <c r="F13">
        <v>5500000</v>
      </c>
      <c r="G13">
        <v>2183</v>
      </c>
      <c r="H13">
        <v>20988004249</v>
      </c>
      <c r="I13">
        <v>1457</v>
      </c>
      <c r="K13">
        <v>5500000</v>
      </c>
      <c r="L13">
        <v>2180</v>
      </c>
      <c r="M13">
        <v>39468008289</v>
      </c>
      <c r="N13">
        <v>2759</v>
      </c>
      <c r="P13">
        <v>5500000</v>
      </c>
      <c r="Q13">
        <v>2177</v>
      </c>
      <c r="R13">
        <v>57948012329</v>
      </c>
      <c r="S13">
        <v>4097</v>
      </c>
      <c r="U13">
        <v>5500000</v>
      </c>
      <c r="V13">
        <v>2175</v>
      </c>
      <c r="W13">
        <v>76428016369</v>
      </c>
      <c r="X13">
        <v>5406</v>
      </c>
      <c r="Z13">
        <v>5500000</v>
      </c>
      <c r="AA13">
        <f t="shared" si="0"/>
        <v>2175.6</v>
      </c>
      <c r="AB13">
        <f t="shared" si="1"/>
        <v>39468008289</v>
      </c>
      <c r="AC13">
        <f t="shared" si="2"/>
        <v>2770.2</v>
      </c>
    </row>
    <row r="14" spans="1:29" x14ac:dyDescent="0.25">
      <c r="A14">
        <v>6000000</v>
      </c>
      <c r="B14">
        <v>2395</v>
      </c>
      <c r="C14">
        <v>2964000228</v>
      </c>
      <c r="D14">
        <v>151</v>
      </c>
      <c r="F14">
        <v>6000000</v>
      </c>
      <c r="G14">
        <v>2382</v>
      </c>
      <c r="H14">
        <v>21444004268</v>
      </c>
      <c r="I14">
        <v>1466</v>
      </c>
      <c r="K14">
        <v>6000000</v>
      </c>
      <c r="L14">
        <v>2340</v>
      </c>
      <c r="M14">
        <v>39924008308</v>
      </c>
      <c r="N14">
        <v>2773</v>
      </c>
      <c r="P14">
        <v>6000000</v>
      </c>
      <c r="Q14">
        <v>2385</v>
      </c>
      <c r="R14">
        <v>58404012348</v>
      </c>
      <c r="S14">
        <v>4105</v>
      </c>
      <c r="U14">
        <v>6000000</v>
      </c>
      <c r="V14">
        <v>2382</v>
      </c>
      <c r="W14">
        <v>76884016388</v>
      </c>
      <c r="X14">
        <v>5422</v>
      </c>
      <c r="Z14">
        <v>6000000</v>
      </c>
      <c r="AA14">
        <f t="shared" si="0"/>
        <v>2376.8000000000002</v>
      </c>
      <c r="AB14">
        <f t="shared" si="1"/>
        <v>39924008308</v>
      </c>
      <c r="AC14">
        <f t="shared" si="2"/>
        <v>2783.4</v>
      </c>
    </row>
    <row r="15" spans="1:29" x14ac:dyDescent="0.25">
      <c r="A15">
        <v>6500000</v>
      </c>
      <c r="B15">
        <v>2591</v>
      </c>
      <c r="C15">
        <v>3458000247</v>
      </c>
      <c r="D15">
        <v>163</v>
      </c>
      <c r="F15">
        <v>6500000</v>
      </c>
      <c r="G15">
        <v>2560</v>
      </c>
      <c r="H15">
        <v>21938004287</v>
      </c>
      <c r="I15">
        <v>1484</v>
      </c>
      <c r="K15">
        <v>6500000</v>
      </c>
      <c r="L15">
        <v>2579</v>
      </c>
      <c r="M15">
        <v>40418008327</v>
      </c>
      <c r="N15">
        <v>2786</v>
      </c>
      <c r="P15">
        <v>6500000</v>
      </c>
      <c r="Q15">
        <v>2563</v>
      </c>
      <c r="R15">
        <v>58898012367</v>
      </c>
      <c r="S15">
        <v>4122</v>
      </c>
      <c r="U15">
        <v>6500000</v>
      </c>
      <c r="V15">
        <v>2582</v>
      </c>
      <c r="W15">
        <v>77378016407</v>
      </c>
      <c r="X15">
        <v>5437</v>
      </c>
      <c r="Z15">
        <v>6500000</v>
      </c>
      <c r="AA15">
        <f t="shared" si="0"/>
        <v>2575</v>
      </c>
      <c r="AB15">
        <f t="shared" si="1"/>
        <v>40418008327</v>
      </c>
      <c r="AC15">
        <f t="shared" si="2"/>
        <v>2798.4</v>
      </c>
    </row>
    <row r="16" spans="1:29" x14ac:dyDescent="0.25">
      <c r="A16">
        <v>7000000</v>
      </c>
      <c r="B16">
        <v>2781</v>
      </c>
      <c r="C16">
        <v>3990000266</v>
      </c>
      <c r="D16">
        <v>181</v>
      </c>
      <c r="F16">
        <v>7000000</v>
      </c>
      <c r="G16">
        <v>2761</v>
      </c>
      <c r="H16">
        <v>22470004306</v>
      </c>
      <c r="I16">
        <v>1495</v>
      </c>
      <c r="K16">
        <v>7000000</v>
      </c>
      <c r="L16">
        <v>2717</v>
      </c>
      <c r="M16">
        <v>40950008346</v>
      </c>
      <c r="N16">
        <v>2805</v>
      </c>
      <c r="P16">
        <v>7000000</v>
      </c>
      <c r="Q16">
        <v>2786</v>
      </c>
      <c r="R16">
        <v>59430012386</v>
      </c>
      <c r="S16">
        <v>4134</v>
      </c>
      <c r="U16">
        <v>7000000</v>
      </c>
      <c r="V16">
        <v>2785</v>
      </c>
      <c r="W16">
        <v>77910016426</v>
      </c>
      <c r="X16">
        <v>5455</v>
      </c>
      <c r="Z16">
        <v>7000000</v>
      </c>
      <c r="AA16">
        <f t="shared" si="0"/>
        <v>2766</v>
      </c>
      <c r="AB16">
        <f t="shared" si="1"/>
        <v>40950008346</v>
      </c>
      <c r="AC16">
        <f t="shared" si="2"/>
        <v>2814</v>
      </c>
    </row>
    <row r="17" spans="1:29" x14ac:dyDescent="0.25">
      <c r="A17">
        <v>7500000</v>
      </c>
      <c r="B17">
        <v>2961</v>
      </c>
      <c r="C17">
        <v>4560000285</v>
      </c>
      <c r="D17">
        <v>199</v>
      </c>
      <c r="F17">
        <v>7500000</v>
      </c>
      <c r="G17">
        <v>2928</v>
      </c>
      <c r="H17">
        <v>23040004325</v>
      </c>
      <c r="I17">
        <v>1509</v>
      </c>
      <c r="K17">
        <v>7500000</v>
      </c>
      <c r="L17">
        <v>2933</v>
      </c>
      <c r="M17">
        <v>41520008365</v>
      </c>
      <c r="N17">
        <v>2817</v>
      </c>
      <c r="P17">
        <v>7500000</v>
      </c>
      <c r="Q17">
        <v>2954</v>
      </c>
      <c r="R17">
        <v>60000012405</v>
      </c>
      <c r="S17">
        <v>4145</v>
      </c>
      <c r="U17">
        <v>7500000</v>
      </c>
      <c r="V17">
        <v>2975</v>
      </c>
      <c r="W17">
        <v>78480016445</v>
      </c>
      <c r="X17">
        <v>5463</v>
      </c>
      <c r="Z17">
        <v>7500000</v>
      </c>
      <c r="AA17">
        <f t="shared" si="0"/>
        <v>2950.2</v>
      </c>
      <c r="AB17">
        <f t="shared" si="1"/>
        <v>41520008365</v>
      </c>
      <c r="AC17">
        <f t="shared" si="2"/>
        <v>2826.6</v>
      </c>
    </row>
    <row r="18" spans="1:29" x14ac:dyDescent="0.25">
      <c r="A18">
        <v>8000000</v>
      </c>
      <c r="B18">
        <v>3192</v>
      </c>
      <c r="C18">
        <v>5168000304</v>
      </c>
      <c r="D18">
        <v>214</v>
      </c>
      <c r="F18">
        <v>8000000</v>
      </c>
      <c r="G18">
        <v>3134</v>
      </c>
      <c r="H18">
        <v>23648004344</v>
      </c>
      <c r="I18">
        <v>1520</v>
      </c>
      <c r="K18">
        <v>8000000</v>
      </c>
      <c r="L18">
        <v>3158</v>
      </c>
      <c r="M18">
        <v>42128008384</v>
      </c>
      <c r="N18">
        <v>2830</v>
      </c>
      <c r="P18">
        <v>8000000</v>
      </c>
      <c r="Q18">
        <v>3158</v>
      </c>
      <c r="R18">
        <v>60608012424</v>
      </c>
      <c r="S18">
        <v>4156</v>
      </c>
      <c r="U18">
        <v>8000000</v>
      </c>
      <c r="V18">
        <v>3172</v>
      </c>
      <c r="W18">
        <v>79088016464</v>
      </c>
      <c r="X18">
        <v>5481</v>
      </c>
      <c r="Z18">
        <v>8000000</v>
      </c>
      <c r="AA18">
        <f t="shared" si="0"/>
        <v>3162.8</v>
      </c>
      <c r="AB18">
        <f t="shared" si="1"/>
        <v>42128008384</v>
      </c>
      <c r="AC18">
        <f t="shared" si="2"/>
        <v>2840.2</v>
      </c>
    </row>
    <row r="19" spans="1:29" x14ac:dyDescent="0.25">
      <c r="A19">
        <v>8500000</v>
      </c>
      <c r="B19">
        <v>3384</v>
      </c>
      <c r="C19">
        <v>5814000323</v>
      </c>
      <c r="D19">
        <v>228</v>
      </c>
      <c r="F19">
        <v>8500000</v>
      </c>
      <c r="G19">
        <v>3360</v>
      </c>
      <c r="H19">
        <v>24294004363</v>
      </c>
      <c r="I19">
        <v>1535</v>
      </c>
      <c r="K19">
        <v>8500000</v>
      </c>
      <c r="L19">
        <v>3364</v>
      </c>
      <c r="M19">
        <v>42774008403</v>
      </c>
      <c r="N19">
        <v>2846</v>
      </c>
      <c r="P19">
        <v>8500000</v>
      </c>
      <c r="Q19">
        <v>3344</v>
      </c>
      <c r="R19">
        <v>61254012443</v>
      </c>
      <c r="S19">
        <v>4169</v>
      </c>
      <c r="U19">
        <v>8500000</v>
      </c>
      <c r="V19">
        <v>3371</v>
      </c>
      <c r="W19">
        <v>79734016483</v>
      </c>
      <c r="X19">
        <v>5493</v>
      </c>
      <c r="Z19">
        <v>8500000</v>
      </c>
      <c r="AA19">
        <f t="shared" si="0"/>
        <v>3364.6</v>
      </c>
      <c r="AB19">
        <f t="shared" si="1"/>
        <v>42774008403</v>
      </c>
      <c r="AC19">
        <f t="shared" si="2"/>
        <v>2854.2</v>
      </c>
    </row>
    <row r="20" spans="1:29" x14ac:dyDescent="0.25">
      <c r="A20">
        <v>9000000</v>
      </c>
      <c r="B20">
        <v>3539</v>
      </c>
      <c r="C20">
        <v>6498000342</v>
      </c>
      <c r="D20">
        <v>242</v>
      </c>
      <c r="F20">
        <v>9000000</v>
      </c>
      <c r="G20">
        <v>3522</v>
      </c>
      <c r="H20">
        <v>24978004382</v>
      </c>
      <c r="I20">
        <v>1548</v>
      </c>
      <c r="K20">
        <v>9000000</v>
      </c>
      <c r="L20">
        <v>3565</v>
      </c>
      <c r="M20">
        <v>43458008422</v>
      </c>
      <c r="N20">
        <v>2858</v>
      </c>
      <c r="P20">
        <v>9000000</v>
      </c>
      <c r="Q20">
        <v>3568</v>
      </c>
      <c r="R20">
        <v>61938012462</v>
      </c>
      <c r="S20">
        <v>4179</v>
      </c>
      <c r="U20">
        <v>9000000</v>
      </c>
      <c r="V20">
        <v>4483</v>
      </c>
      <c r="W20">
        <v>80418016502</v>
      </c>
      <c r="X20">
        <v>5513</v>
      </c>
      <c r="Z20">
        <v>9000000</v>
      </c>
      <c r="AA20">
        <f t="shared" si="0"/>
        <v>3735.4</v>
      </c>
      <c r="AB20">
        <f t="shared" si="1"/>
        <v>43458008422</v>
      </c>
      <c r="AC20">
        <f t="shared" si="2"/>
        <v>2868</v>
      </c>
    </row>
    <row r="21" spans="1:29" x14ac:dyDescent="0.25">
      <c r="A21">
        <v>9500000</v>
      </c>
      <c r="B21">
        <v>3762</v>
      </c>
      <c r="C21">
        <v>7220000361</v>
      </c>
      <c r="D21">
        <v>252</v>
      </c>
      <c r="F21">
        <v>9500000</v>
      </c>
      <c r="G21">
        <v>3720</v>
      </c>
      <c r="H21">
        <v>25700004401</v>
      </c>
      <c r="I21">
        <v>1563</v>
      </c>
      <c r="K21">
        <v>9500000</v>
      </c>
      <c r="L21">
        <v>3719</v>
      </c>
      <c r="M21">
        <v>44180008441</v>
      </c>
      <c r="N21">
        <v>2873</v>
      </c>
      <c r="P21">
        <v>9500000</v>
      </c>
      <c r="Q21">
        <v>3737</v>
      </c>
      <c r="R21">
        <v>62660012481</v>
      </c>
      <c r="S21">
        <v>4190</v>
      </c>
      <c r="U21">
        <v>9500000</v>
      </c>
      <c r="V21">
        <v>6571</v>
      </c>
      <c r="W21">
        <v>81140016521</v>
      </c>
      <c r="X21">
        <v>5530</v>
      </c>
      <c r="Z21">
        <v>9500000</v>
      </c>
      <c r="AA21">
        <f t="shared" si="0"/>
        <v>4301.8</v>
      </c>
      <c r="AB21">
        <f t="shared" si="1"/>
        <v>44180008441</v>
      </c>
      <c r="AC21">
        <f t="shared" si="2"/>
        <v>2881.6</v>
      </c>
    </row>
    <row r="22" spans="1:29" x14ac:dyDescent="0.25">
      <c r="A22">
        <v>10000000</v>
      </c>
      <c r="B22">
        <v>3965</v>
      </c>
      <c r="C22">
        <v>7980000380</v>
      </c>
      <c r="D22">
        <v>266</v>
      </c>
      <c r="F22">
        <v>10000000</v>
      </c>
      <c r="G22">
        <v>3919</v>
      </c>
      <c r="H22">
        <v>26460004420</v>
      </c>
      <c r="I22">
        <v>1583</v>
      </c>
      <c r="K22">
        <v>10000000</v>
      </c>
      <c r="L22">
        <v>3959</v>
      </c>
      <c r="M22">
        <v>44940008460</v>
      </c>
      <c r="N22">
        <v>2888</v>
      </c>
      <c r="P22">
        <v>10000000</v>
      </c>
      <c r="Q22">
        <v>3938</v>
      </c>
      <c r="R22">
        <v>63420012500</v>
      </c>
      <c r="S22">
        <v>4203</v>
      </c>
      <c r="U22">
        <v>10000000</v>
      </c>
      <c r="V22">
        <v>7062</v>
      </c>
      <c r="W22">
        <v>81900016540</v>
      </c>
      <c r="X22">
        <v>5547</v>
      </c>
      <c r="Z22">
        <v>10000000</v>
      </c>
      <c r="AA22">
        <f t="shared" si="0"/>
        <v>4568.6000000000004</v>
      </c>
      <c r="AB22">
        <f t="shared" si="1"/>
        <v>44940008460</v>
      </c>
      <c r="AC22">
        <f t="shared" si="2"/>
        <v>2897.4</v>
      </c>
    </row>
    <row r="25" spans="1:29" x14ac:dyDescent="0.25">
      <c r="A25" s="3" t="s">
        <v>36</v>
      </c>
      <c r="B25" s="3"/>
      <c r="C25" s="3"/>
      <c r="D25" s="3"/>
      <c r="F25" s="3" t="s">
        <v>36</v>
      </c>
      <c r="G25" s="3"/>
      <c r="H25" s="3"/>
      <c r="I25" s="3"/>
      <c r="K25" s="3" t="s">
        <v>36</v>
      </c>
      <c r="L25" s="3"/>
      <c r="M25" s="3"/>
      <c r="N25" s="3"/>
      <c r="P25" s="3" t="s">
        <v>36</v>
      </c>
      <c r="Q25" s="3"/>
      <c r="R25" s="3"/>
      <c r="S25" s="3"/>
      <c r="U25" s="3" t="s">
        <v>36</v>
      </c>
      <c r="V25" s="3"/>
      <c r="W25" s="3"/>
      <c r="X25" s="3"/>
      <c r="Z25" s="3" t="s">
        <v>37</v>
      </c>
      <c r="AA25" s="3"/>
      <c r="AB25" s="3"/>
      <c r="AC25" s="3"/>
    </row>
    <row r="26" spans="1:29" x14ac:dyDescent="0.25">
      <c r="A26" t="s">
        <v>24</v>
      </c>
      <c r="B26" t="s">
        <v>25</v>
      </c>
      <c r="C26" t="s">
        <v>26</v>
      </c>
      <c r="D26" t="s">
        <v>27</v>
      </c>
      <c r="F26" t="s">
        <v>24</v>
      </c>
      <c r="G26" t="s">
        <v>25</v>
      </c>
      <c r="H26" t="s">
        <v>26</v>
      </c>
      <c r="I26" t="s">
        <v>27</v>
      </c>
      <c r="K26" t="s">
        <v>24</v>
      </c>
      <c r="L26" t="s">
        <v>25</v>
      </c>
      <c r="M26" t="s">
        <v>26</v>
      </c>
      <c r="N26" t="s">
        <v>27</v>
      </c>
      <c r="P26" t="s">
        <v>24</v>
      </c>
      <c r="Q26" t="s">
        <v>25</v>
      </c>
      <c r="R26" t="s">
        <v>26</v>
      </c>
      <c r="S26" t="s">
        <v>27</v>
      </c>
      <c r="U26" t="s">
        <v>24</v>
      </c>
      <c r="V26" t="s">
        <v>25</v>
      </c>
      <c r="W26" t="s">
        <v>26</v>
      </c>
      <c r="X26" t="s">
        <v>27</v>
      </c>
      <c r="Z26" t="s">
        <v>24</v>
      </c>
      <c r="AA26" t="s">
        <v>25</v>
      </c>
      <c r="AB26" t="s">
        <v>26</v>
      </c>
      <c r="AC26" t="s">
        <v>27</v>
      </c>
    </row>
    <row r="27" spans="1:29" x14ac:dyDescent="0.25">
      <c r="A27" s="2">
        <v>500000</v>
      </c>
      <c r="B27" s="2">
        <v>93</v>
      </c>
      <c r="C27" s="2">
        <v>7998000407</v>
      </c>
      <c r="D27" s="2">
        <v>287</v>
      </c>
      <c r="E27" s="2"/>
      <c r="F27" s="2">
        <v>500000</v>
      </c>
      <c r="G27" s="2">
        <v>93</v>
      </c>
      <c r="H27" s="2">
        <v>26478004447</v>
      </c>
      <c r="I27" s="2">
        <v>1599</v>
      </c>
      <c r="J27" s="2"/>
      <c r="K27" s="2">
        <v>500000</v>
      </c>
      <c r="L27" s="2">
        <v>93</v>
      </c>
      <c r="M27" s="2">
        <v>44958008487</v>
      </c>
      <c r="N27" s="2">
        <v>2900</v>
      </c>
      <c r="O27" s="2"/>
      <c r="P27" s="2">
        <v>500000</v>
      </c>
      <c r="Q27" s="2">
        <v>93</v>
      </c>
      <c r="R27" s="2">
        <v>63438012527</v>
      </c>
      <c r="S27" s="2">
        <v>4211</v>
      </c>
      <c r="T27" s="2"/>
      <c r="U27" s="2">
        <v>500000</v>
      </c>
      <c r="V27" s="2">
        <v>168</v>
      </c>
      <c r="W27" s="2">
        <v>81918016567</v>
      </c>
      <c r="X27" s="2">
        <v>5561</v>
      </c>
      <c r="Y27" s="2"/>
      <c r="Z27" s="2">
        <v>500000</v>
      </c>
      <c r="AA27" s="2">
        <f t="shared" ref="AA27:AA46" si="3">AVERAGE(B27,G27,L27,Q27,V27)</f>
        <v>108</v>
      </c>
      <c r="AB27" s="2">
        <f t="shared" ref="AB27:AB46" si="4">AVERAGE(C27,H27,M27,R27,W27)</f>
        <v>44958008487</v>
      </c>
      <c r="AC27" s="2">
        <f t="shared" ref="AC27:AC46" si="5">AVERAGE(D27,I27,N27,S27,X27)</f>
        <v>2911.6</v>
      </c>
    </row>
    <row r="28" spans="1:29" x14ac:dyDescent="0.25">
      <c r="A28" s="2">
        <v>1000000</v>
      </c>
      <c r="B28" s="2">
        <v>186</v>
      </c>
      <c r="C28" s="2">
        <v>8034000434</v>
      </c>
      <c r="D28" s="2">
        <v>300</v>
      </c>
      <c r="E28" s="2"/>
      <c r="F28" s="2">
        <v>1000000</v>
      </c>
      <c r="G28" s="2">
        <v>183</v>
      </c>
      <c r="H28" s="2">
        <v>26514004474</v>
      </c>
      <c r="I28" s="2">
        <v>1610</v>
      </c>
      <c r="J28" s="2"/>
      <c r="K28" s="2">
        <v>1000000</v>
      </c>
      <c r="L28" s="2">
        <v>188</v>
      </c>
      <c r="M28" s="2">
        <v>44994008514</v>
      </c>
      <c r="N28" s="2">
        <v>2909</v>
      </c>
      <c r="O28" s="2"/>
      <c r="P28" s="2">
        <v>1000000</v>
      </c>
      <c r="Q28" s="2">
        <v>183</v>
      </c>
      <c r="R28" s="2">
        <v>63474012554</v>
      </c>
      <c r="S28" s="2">
        <v>4223</v>
      </c>
      <c r="T28" s="2"/>
      <c r="U28" s="2">
        <v>1000000</v>
      </c>
      <c r="V28" s="2">
        <v>330</v>
      </c>
      <c r="W28" s="2">
        <v>81954016594</v>
      </c>
      <c r="X28" s="2">
        <v>5571</v>
      </c>
      <c r="Y28" s="2"/>
      <c r="Z28" s="2">
        <v>1000000</v>
      </c>
      <c r="AA28" s="2">
        <f t="shared" si="3"/>
        <v>214</v>
      </c>
      <c r="AB28" s="2">
        <f t="shared" si="4"/>
        <v>44994008514</v>
      </c>
      <c r="AC28" s="2">
        <f t="shared" si="5"/>
        <v>2922.6</v>
      </c>
    </row>
    <row r="29" spans="1:29" x14ac:dyDescent="0.25">
      <c r="A29" s="2">
        <v>1500000</v>
      </c>
      <c r="B29" s="2">
        <v>282</v>
      </c>
      <c r="C29" s="2">
        <v>8088000461</v>
      </c>
      <c r="D29" s="2">
        <v>310</v>
      </c>
      <c r="E29" s="2"/>
      <c r="F29" s="2">
        <v>1500000</v>
      </c>
      <c r="G29" s="2">
        <v>279</v>
      </c>
      <c r="H29" s="2">
        <v>26568004501</v>
      </c>
      <c r="I29" s="2">
        <v>1621</v>
      </c>
      <c r="J29" s="2"/>
      <c r="K29" s="2">
        <v>1500000</v>
      </c>
      <c r="L29" s="2">
        <v>282</v>
      </c>
      <c r="M29" s="2">
        <v>45048008541</v>
      </c>
      <c r="N29" s="2">
        <v>2924</v>
      </c>
      <c r="O29" s="2"/>
      <c r="P29" s="2">
        <v>1500000</v>
      </c>
      <c r="Q29" s="2">
        <v>279</v>
      </c>
      <c r="R29" s="2">
        <v>63528012581</v>
      </c>
      <c r="S29" s="2">
        <v>4236</v>
      </c>
      <c r="T29" s="2"/>
      <c r="U29" s="2">
        <v>1500000</v>
      </c>
      <c r="V29" s="2">
        <v>498</v>
      </c>
      <c r="W29" s="2">
        <v>82008016621</v>
      </c>
      <c r="X29" s="2">
        <v>5585</v>
      </c>
      <c r="Y29" s="2"/>
      <c r="Z29" s="2">
        <v>1500000</v>
      </c>
      <c r="AA29" s="2">
        <f t="shared" si="3"/>
        <v>324</v>
      </c>
      <c r="AB29" s="2">
        <f t="shared" si="4"/>
        <v>45048008541</v>
      </c>
      <c r="AC29" s="2">
        <f t="shared" si="5"/>
        <v>2935.2</v>
      </c>
    </row>
    <row r="30" spans="1:29" x14ac:dyDescent="0.25">
      <c r="A30" s="2">
        <v>2000000</v>
      </c>
      <c r="B30" s="2">
        <v>372</v>
      </c>
      <c r="C30" s="2">
        <v>8160000488</v>
      </c>
      <c r="D30" s="2">
        <v>326</v>
      </c>
      <c r="E30" s="2"/>
      <c r="F30" s="2">
        <v>2000000</v>
      </c>
      <c r="G30" s="2">
        <v>374</v>
      </c>
      <c r="H30" s="2">
        <v>26640004528</v>
      </c>
      <c r="I30" s="2">
        <v>1634</v>
      </c>
      <c r="J30" s="2"/>
      <c r="K30" s="2">
        <v>2000000</v>
      </c>
      <c r="L30" s="2">
        <v>367</v>
      </c>
      <c r="M30" s="2">
        <v>45120008568</v>
      </c>
      <c r="N30" s="2">
        <v>2930</v>
      </c>
      <c r="O30" s="2"/>
      <c r="P30" s="2">
        <v>2000000</v>
      </c>
      <c r="Q30" s="2">
        <v>364</v>
      </c>
      <c r="R30" s="2">
        <v>63600012608</v>
      </c>
      <c r="S30" s="2">
        <v>4246</v>
      </c>
      <c r="T30" s="2"/>
      <c r="U30" s="2">
        <v>2000000</v>
      </c>
      <c r="V30" s="2">
        <v>671</v>
      </c>
      <c r="W30" s="2">
        <v>82080016648</v>
      </c>
      <c r="X30" s="2">
        <v>5605</v>
      </c>
      <c r="Y30" s="2"/>
      <c r="Z30" s="2">
        <v>2000000</v>
      </c>
      <c r="AA30" s="2">
        <f t="shared" si="3"/>
        <v>429.6</v>
      </c>
      <c r="AB30" s="2">
        <f t="shared" si="4"/>
        <v>45120008568</v>
      </c>
      <c r="AC30" s="2">
        <f t="shared" si="5"/>
        <v>2948.2</v>
      </c>
    </row>
    <row r="31" spans="1:29" x14ac:dyDescent="0.25">
      <c r="A31" s="2">
        <v>2500000</v>
      </c>
      <c r="B31" s="2">
        <v>466</v>
      </c>
      <c r="C31" s="2">
        <v>8250000515</v>
      </c>
      <c r="D31" s="2">
        <v>342</v>
      </c>
      <c r="E31" s="2"/>
      <c r="F31" s="2">
        <v>2500000</v>
      </c>
      <c r="G31" s="2">
        <v>455</v>
      </c>
      <c r="H31" s="2">
        <v>26730004555</v>
      </c>
      <c r="I31" s="2">
        <v>1643</v>
      </c>
      <c r="J31" s="2"/>
      <c r="K31" s="2">
        <v>2500000</v>
      </c>
      <c r="L31" s="2">
        <v>468</v>
      </c>
      <c r="M31" s="2">
        <v>45210008595</v>
      </c>
      <c r="N31" s="2">
        <v>2944</v>
      </c>
      <c r="O31" s="2"/>
      <c r="P31" s="2">
        <v>2500000</v>
      </c>
      <c r="Q31" s="2">
        <v>470</v>
      </c>
      <c r="R31" s="2">
        <v>63690012635</v>
      </c>
      <c r="S31" s="2">
        <v>4263</v>
      </c>
      <c r="T31" s="2"/>
      <c r="U31" s="2">
        <v>2500000</v>
      </c>
      <c r="V31" s="2">
        <v>846</v>
      </c>
      <c r="W31" s="2">
        <v>82170016675</v>
      </c>
      <c r="X31" s="2">
        <v>5628</v>
      </c>
      <c r="Y31" s="2"/>
      <c r="Z31" s="2">
        <v>2500000</v>
      </c>
      <c r="AA31" s="2">
        <f t="shared" si="3"/>
        <v>541</v>
      </c>
      <c r="AB31" s="2">
        <f t="shared" si="4"/>
        <v>45210008595</v>
      </c>
      <c r="AC31" s="2">
        <f t="shared" si="5"/>
        <v>2964</v>
      </c>
    </row>
    <row r="32" spans="1:29" x14ac:dyDescent="0.25">
      <c r="A32" s="2">
        <v>3000000</v>
      </c>
      <c r="B32" s="2">
        <v>561</v>
      </c>
      <c r="C32" s="2">
        <v>8358000542</v>
      </c>
      <c r="D32" s="2">
        <v>356</v>
      </c>
      <c r="E32" s="2"/>
      <c r="F32" s="2">
        <v>3000000</v>
      </c>
      <c r="G32" s="2">
        <v>561</v>
      </c>
      <c r="H32" s="2">
        <v>26838004582</v>
      </c>
      <c r="I32" s="2">
        <v>1656</v>
      </c>
      <c r="J32" s="2"/>
      <c r="K32" s="2">
        <v>3000000</v>
      </c>
      <c r="L32" s="2">
        <v>558</v>
      </c>
      <c r="M32" s="2">
        <v>45318008622</v>
      </c>
      <c r="N32" s="2">
        <v>2959</v>
      </c>
      <c r="O32" s="2"/>
      <c r="P32" s="2">
        <v>3000000</v>
      </c>
      <c r="Q32" s="2">
        <v>555</v>
      </c>
      <c r="R32" s="2">
        <v>63798012662</v>
      </c>
      <c r="S32" s="2">
        <v>4276</v>
      </c>
      <c r="T32" s="2"/>
      <c r="U32" s="2">
        <v>3000000</v>
      </c>
      <c r="V32" s="2">
        <v>1022</v>
      </c>
      <c r="W32" s="2">
        <v>82278016702</v>
      </c>
      <c r="X32" s="2">
        <v>5646</v>
      </c>
      <c r="Y32" s="2"/>
      <c r="Z32" s="2">
        <v>3000000</v>
      </c>
      <c r="AA32" s="2">
        <f t="shared" si="3"/>
        <v>651.4</v>
      </c>
      <c r="AB32" s="2">
        <f t="shared" si="4"/>
        <v>45318008622</v>
      </c>
      <c r="AC32" s="2">
        <f t="shared" si="5"/>
        <v>2978.6</v>
      </c>
    </row>
    <row r="33" spans="1:29" x14ac:dyDescent="0.25">
      <c r="A33" s="2">
        <v>3500000</v>
      </c>
      <c r="B33" s="2">
        <v>642</v>
      </c>
      <c r="C33" s="2">
        <v>8484000569</v>
      </c>
      <c r="D33" s="2">
        <v>366</v>
      </c>
      <c r="E33" s="2"/>
      <c r="F33" s="2">
        <v>3500000</v>
      </c>
      <c r="G33" s="2">
        <v>644</v>
      </c>
      <c r="H33" s="2">
        <v>26964004609</v>
      </c>
      <c r="I33" s="2">
        <v>1665</v>
      </c>
      <c r="J33" s="2"/>
      <c r="K33" s="2">
        <v>3500000</v>
      </c>
      <c r="L33" s="2">
        <v>654</v>
      </c>
      <c r="M33" s="2">
        <v>45444008649</v>
      </c>
      <c r="N33" s="2">
        <v>2968</v>
      </c>
      <c r="O33" s="2"/>
      <c r="P33" s="2">
        <v>3500000</v>
      </c>
      <c r="Q33" s="2">
        <v>657</v>
      </c>
      <c r="R33" s="2">
        <v>63924012689</v>
      </c>
      <c r="S33" s="2">
        <v>4285</v>
      </c>
      <c r="T33" s="2"/>
      <c r="U33" s="2">
        <v>3500000</v>
      </c>
      <c r="V33" s="2">
        <v>1188</v>
      </c>
      <c r="W33" s="2">
        <v>82404016729</v>
      </c>
      <c r="X33" s="2">
        <v>5659</v>
      </c>
      <c r="Y33" s="2"/>
      <c r="Z33" s="2">
        <v>3500000</v>
      </c>
      <c r="AA33" s="2">
        <f t="shared" si="3"/>
        <v>757</v>
      </c>
      <c r="AB33" s="2">
        <f t="shared" si="4"/>
        <v>45444008649</v>
      </c>
      <c r="AC33" s="2">
        <f t="shared" si="5"/>
        <v>2988.6</v>
      </c>
    </row>
    <row r="34" spans="1:29" x14ac:dyDescent="0.25">
      <c r="A34" s="2">
        <v>4000000</v>
      </c>
      <c r="B34" s="2">
        <v>741</v>
      </c>
      <c r="C34" s="2">
        <v>8628000596</v>
      </c>
      <c r="D34" s="2">
        <v>381</v>
      </c>
      <c r="E34" s="2"/>
      <c r="F34" s="2">
        <v>4000000</v>
      </c>
      <c r="G34" s="2">
        <v>738</v>
      </c>
      <c r="H34" s="2">
        <v>27108004636</v>
      </c>
      <c r="I34" s="2">
        <v>1681</v>
      </c>
      <c r="J34" s="2"/>
      <c r="K34" s="2">
        <v>4000000</v>
      </c>
      <c r="L34" s="2">
        <v>735</v>
      </c>
      <c r="M34" s="2">
        <v>45588008676</v>
      </c>
      <c r="N34" s="2">
        <v>2985</v>
      </c>
      <c r="O34" s="2"/>
      <c r="P34" s="2">
        <v>4000000</v>
      </c>
      <c r="Q34" s="2">
        <v>749</v>
      </c>
      <c r="R34" s="2">
        <v>64068012716</v>
      </c>
      <c r="S34" s="2">
        <v>4294</v>
      </c>
      <c r="T34" s="2"/>
      <c r="U34" s="2">
        <v>4000000</v>
      </c>
      <c r="V34" s="2">
        <v>1348</v>
      </c>
      <c r="W34" s="2">
        <v>82548016756</v>
      </c>
      <c r="X34" s="2">
        <v>5672</v>
      </c>
      <c r="Y34" s="2"/>
      <c r="Z34" s="2">
        <v>4000000</v>
      </c>
      <c r="AA34" s="2">
        <f t="shared" si="3"/>
        <v>862.2</v>
      </c>
      <c r="AB34" s="2">
        <f t="shared" si="4"/>
        <v>45588008676</v>
      </c>
      <c r="AC34" s="2">
        <f t="shared" si="5"/>
        <v>3002.6</v>
      </c>
    </row>
    <row r="35" spans="1:29" x14ac:dyDescent="0.25">
      <c r="A35" s="2">
        <v>4500000</v>
      </c>
      <c r="B35" s="2">
        <v>844</v>
      </c>
      <c r="C35" s="2">
        <v>8790000623</v>
      </c>
      <c r="D35" s="2">
        <v>390</v>
      </c>
      <c r="E35" s="2"/>
      <c r="F35" s="2">
        <v>4500000</v>
      </c>
      <c r="G35" s="2">
        <v>838</v>
      </c>
      <c r="H35" s="2">
        <v>27270004663</v>
      </c>
      <c r="I35" s="2">
        <v>1697</v>
      </c>
      <c r="J35" s="2"/>
      <c r="K35" s="2">
        <v>4500000</v>
      </c>
      <c r="L35" s="2">
        <v>840</v>
      </c>
      <c r="M35" s="2">
        <v>45750008703</v>
      </c>
      <c r="N35" s="2">
        <v>2997</v>
      </c>
      <c r="O35" s="2"/>
      <c r="P35" s="2">
        <v>4500000</v>
      </c>
      <c r="Q35" s="2">
        <v>840</v>
      </c>
      <c r="R35" s="2">
        <v>64230012743</v>
      </c>
      <c r="S35" s="2">
        <v>4301</v>
      </c>
      <c r="T35" s="2"/>
      <c r="U35" s="2">
        <v>4500000</v>
      </c>
      <c r="V35" s="2">
        <v>1526</v>
      </c>
      <c r="W35" s="2">
        <v>82710016783</v>
      </c>
      <c r="X35" s="2">
        <v>5689</v>
      </c>
      <c r="Y35" s="2"/>
      <c r="Z35" s="2">
        <v>4500000</v>
      </c>
      <c r="AA35" s="2">
        <f t="shared" si="3"/>
        <v>977.6</v>
      </c>
      <c r="AB35" s="2">
        <f t="shared" si="4"/>
        <v>45750008703</v>
      </c>
      <c r="AC35" s="2">
        <f t="shared" si="5"/>
        <v>3014.8</v>
      </c>
    </row>
    <row r="36" spans="1:29" x14ac:dyDescent="0.25">
      <c r="A36" s="2">
        <v>5000000</v>
      </c>
      <c r="B36" s="2">
        <v>935</v>
      </c>
      <c r="C36" s="2">
        <v>8970000650</v>
      </c>
      <c r="D36" s="2">
        <v>402</v>
      </c>
      <c r="E36" s="2"/>
      <c r="F36" s="2">
        <v>5000000</v>
      </c>
      <c r="G36" s="2">
        <v>925</v>
      </c>
      <c r="H36" s="2">
        <v>27450004690</v>
      </c>
      <c r="I36" s="2">
        <v>1708</v>
      </c>
      <c r="J36" s="2"/>
      <c r="K36" s="2">
        <v>5000000</v>
      </c>
      <c r="L36" s="2">
        <v>932</v>
      </c>
      <c r="M36" s="2">
        <v>45930008730</v>
      </c>
      <c r="N36" s="2">
        <v>3010</v>
      </c>
      <c r="O36" s="2"/>
      <c r="P36" s="2">
        <v>5000000</v>
      </c>
      <c r="Q36" s="2">
        <v>924</v>
      </c>
      <c r="R36" s="2">
        <v>64410012770</v>
      </c>
      <c r="S36" s="2">
        <v>4313</v>
      </c>
      <c r="T36" s="2"/>
      <c r="U36" s="2">
        <v>5000000</v>
      </c>
      <c r="V36" s="2">
        <v>1689</v>
      </c>
      <c r="W36" s="2">
        <v>82890016810</v>
      </c>
      <c r="X36" s="2">
        <v>5704</v>
      </c>
      <c r="Y36" s="2"/>
      <c r="Z36" s="2">
        <v>5000000</v>
      </c>
      <c r="AA36" s="2">
        <f t="shared" si="3"/>
        <v>1081</v>
      </c>
      <c r="AB36" s="2">
        <f t="shared" si="4"/>
        <v>45930008730</v>
      </c>
      <c r="AC36" s="2">
        <f t="shared" si="5"/>
        <v>3027.4</v>
      </c>
    </row>
    <row r="37" spans="1:29" x14ac:dyDescent="0.25">
      <c r="A37" s="2">
        <v>5500000</v>
      </c>
      <c r="B37" s="2">
        <v>1027</v>
      </c>
      <c r="C37" s="2">
        <v>9168000677</v>
      </c>
      <c r="D37" s="2">
        <v>416</v>
      </c>
      <c r="E37" s="2"/>
      <c r="F37" s="2">
        <v>5500000</v>
      </c>
      <c r="G37" s="2">
        <v>1027</v>
      </c>
      <c r="H37" s="2">
        <v>27648004717</v>
      </c>
      <c r="I37" s="2">
        <v>1718</v>
      </c>
      <c r="J37" s="2"/>
      <c r="K37" s="2">
        <v>5500000</v>
      </c>
      <c r="L37" s="2">
        <v>1009</v>
      </c>
      <c r="M37" s="2">
        <v>46128008757</v>
      </c>
      <c r="N37" s="2">
        <v>3022</v>
      </c>
      <c r="O37" s="2"/>
      <c r="P37" s="2">
        <v>5500000</v>
      </c>
      <c r="Q37" s="2">
        <v>1009</v>
      </c>
      <c r="R37" s="2">
        <v>64608012797</v>
      </c>
      <c r="S37" s="2">
        <v>4325</v>
      </c>
      <c r="T37" s="2"/>
      <c r="U37" s="2">
        <v>5500000</v>
      </c>
      <c r="V37" s="2">
        <v>1859</v>
      </c>
      <c r="W37" s="2">
        <v>83088016837</v>
      </c>
      <c r="X37" s="2">
        <v>5718</v>
      </c>
      <c r="Y37" s="2"/>
      <c r="Z37" s="2">
        <v>5500000</v>
      </c>
      <c r="AA37" s="2">
        <f t="shared" si="3"/>
        <v>1186.2</v>
      </c>
      <c r="AB37" s="2">
        <f t="shared" si="4"/>
        <v>46128008757</v>
      </c>
      <c r="AC37" s="2">
        <f t="shared" si="5"/>
        <v>3039.8</v>
      </c>
    </row>
    <row r="38" spans="1:29" x14ac:dyDescent="0.25">
      <c r="A38" s="2">
        <v>6000000</v>
      </c>
      <c r="B38" s="2">
        <v>1120</v>
      </c>
      <c r="C38" s="2">
        <v>9384000704</v>
      </c>
      <c r="D38" s="2">
        <v>427</v>
      </c>
      <c r="E38" s="2"/>
      <c r="F38" s="2">
        <v>6000000</v>
      </c>
      <c r="G38" s="2">
        <v>1115</v>
      </c>
      <c r="H38" s="2">
        <v>27864004744</v>
      </c>
      <c r="I38" s="2">
        <v>1728</v>
      </c>
      <c r="J38" s="2"/>
      <c r="K38" s="2">
        <v>6000000</v>
      </c>
      <c r="L38" s="2">
        <v>1110</v>
      </c>
      <c r="M38" s="2">
        <v>46344008784</v>
      </c>
      <c r="N38" s="2">
        <v>3043</v>
      </c>
      <c r="O38" s="2"/>
      <c r="P38" s="2">
        <v>6000000</v>
      </c>
      <c r="Q38" s="2">
        <v>1104</v>
      </c>
      <c r="R38" s="2">
        <v>64824012824</v>
      </c>
      <c r="S38" s="2">
        <v>4338</v>
      </c>
      <c r="T38" s="2"/>
      <c r="U38" s="2">
        <v>6000000</v>
      </c>
      <c r="V38" s="2">
        <v>2027</v>
      </c>
      <c r="W38" s="2">
        <v>83304016864</v>
      </c>
      <c r="X38" s="2">
        <v>5729</v>
      </c>
      <c r="Y38" s="2"/>
      <c r="Z38" s="2">
        <v>6000000</v>
      </c>
      <c r="AA38" s="2">
        <f t="shared" si="3"/>
        <v>1295.2</v>
      </c>
      <c r="AB38" s="2">
        <f t="shared" si="4"/>
        <v>46344008784</v>
      </c>
      <c r="AC38" s="2">
        <f t="shared" si="5"/>
        <v>3053</v>
      </c>
    </row>
    <row r="39" spans="1:29" x14ac:dyDescent="0.25">
      <c r="A39" s="2">
        <v>6500000</v>
      </c>
      <c r="B39" s="2">
        <v>1219</v>
      </c>
      <c r="C39" s="2">
        <v>9618000731</v>
      </c>
      <c r="D39" s="2">
        <v>437</v>
      </c>
      <c r="E39" s="2"/>
      <c r="F39" s="2">
        <v>6500000</v>
      </c>
      <c r="G39" s="2">
        <v>1210</v>
      </c>
      <c r="H39" s="2">
        <v>28098004771</v>
      </c>
      <c r="I39" s="2">
        <v>1739</v>
      </c>
      <c r="J39" s="2"/>
      <c r="K39" s="2">
        <v>6500000</v>
      </c>
      <c r="L39" s="2">
        <v>1218</v>
      </c>
      <c r="M39" s="2">
        <v>46578008811</v>
      </c>
      <c r="N39" s="2">
        <v>3057</v>
      </c>
      <c r="O39" s="2"/>
      <c r="P39" s="2">
        <v>6500000</v>
      </c>
      <c r="Q39" s="2">
        <v>1210</v>
      </c>
      <c r="R39" s="2">
        <v>65058012851</v>
      </c>
      <c r="S39" s="2">
        <v>4349</v>
      </c>
      <c r="T39" s="2"/>
      <c r="U39" s="2">
        <v>6500000</v>
      </c>
      <c r="V39" s="2">
        <v>2192</v>
      </c>
      <c r="W39" s="2">
        <v>83538016891</v>
      </c>
      <c r="X39" s="2">
        <v>5749</v>
      </c>
      <c r="Y39" s="2"/>
      <c r="Z39" s="2">
        <v>6500000</v>
      </c>
      <c r="AA39" s="2">
        <f t="shared" si="3"/>
        <v>1409.8</v>
      </c>
      <c r="AB39" s="2">
        <f t="shared" si="4"/>
        <v>46578008811</v>
      </c>
      <c r="AC39" s="2">
        <f t="shared" si="5"/>
        <v>3066.2</v>
      </c>
    </row>
    <row r="40" spans="1:29" x14ac:dyDescent="0.25">
      <c r="A40" s="2">
        <v>7000000</v>
      </c>
      <c r="B40" s="2">
        <v>1312</v>
      </c>
      <c r="C40" s="2">
        <v>9870000758</v>
      </c>
      <c r="D40" s="2">
        <v>447</v>
      </c>
      <c r="E40" s="2"/>
      <c r="F40" s="2">
        <v>7000000</v>
      </c>
      <c r="G40" s="2">
        <v>1280</v>
      </c>
      <c r="H40" s="2">
        <v>28350004798</v>
      </c>
      <c r="I40" s="2">
        <v>1755</v>
      </c>
      <c r="J40" s="2"/>
      <c r="K40" s="2">
        <v>7000000</v>
      </c>
      <c r="L40" s="2">
        <v>1280</v>
      </c>
      <c r="M40" s="2">
        <v>46830008838</v>
      </c>
      <c r="N40" s="2">
        <v>3064</v>
      </c>
      <c r="O40" s="2"/>
      <c r="P40" s="2">
        <v>7000000</v>
      </c>
      <c r="Q40" s="2">
        <v>1297</v>
      </c>
      <c r="R40" s="2">
        <v>65310012878</v>
      </c>
      <c r="S40" s="2">
        <v>4366</v>
      </c>
      <c r="T40" s="2"/>
      <c r="U40" s="2">
        <v>7000000</v>
      </c>
      <c r="V40" s="2">
        <v>2350</v>
      </c>
      <c r="W40" s="2">
        <v>83790016918</v>
      </c>
      <c r="X40" s="2">
        <v>5766</v>
      </c>
      <c r="Y40" s="2"/>
      <c r="Z40" s="2">
        <v>7000000</v>
      </c>
      <c r="AA40" s="2">
        <f t="shared" si="3"/>
        <v>1503.8</v>
      </c>
      <c r="AB40" s="2">
        <f t="shared" si="4"/>
        <v>46830008838</v>
      </c>
      <c r="AC40" s="2">
        <f t="shared" si="5"/>
        <v>3079.6</v>
      </c>
    </row>
    <row r="41" spans="1:29" x14ac:dyDescent="0.25">
      <c r="A41" s="2">
        <v>7500000</v>
      </c>
      <c r="B41" s="2">
        <v>1391</v>
      </c>
      <c r="C41" s="2">
        <v>10140000785</v>
      </c>
      <c r="D41" s="2">
        <v>465</v>
      </c>
      <c r="E41" s="2"/>
      <c r="F41" s="2">
        <v>7500000</v>
      </c>
      <c r="G41" s="2">
        <v>1398</v>
      </c>
      <c r="H41" s="2">
        <v>28620004825</v>
      </c>
      <c r="I41" s="2">
        <v>1765</v>
      </c>
      <c r="J41" s="2"/>
      <c r="K41" s="2">
        <v>7500000</v>
      </c>
      <c r="L41" s="2">
        <v>1395</v>
      </c>
      <c r="M41" s="2">
        <v>47100008865</v>
      </c>
      <c r="N41" s="2">
        <v>3077</v>
      </c>
      <c r="O41" s="2"/>
      <c r="P41" s="2">
        <v>7500000</v>
      </c>
      <c r="Q41" s="2">
        <v>1388</v>
      </c>
      <c r="R41" s="2">
        <v>65580012905</v>
      </c>
      <c r="S41" s="2">
        <v>4382</v>
      </c>
      <c r="T41" s="2"/>
      <c r="U41" s="2">
        <v>7500000</v>
      </c>
      <c r="V41" s="2">
        <v>2530</v>
      </c>
      <c r="W41" s="2">
        <v>84060016945</v>
      </c>
      <c r="X41" s="2">
        <v>5773</v>
      </c>
      <c r="Y41" s="2"/>
      <c r="Z41" s="2">
        <v>7500000</v>
      </c>
      <c r="AA41" s="2">
        <f t="shared" si="3"/>
        <v>1620.4</v>
      </c>
      <c r="AB41" s="2">
        <f t="shared" si="4"/>
        <v>47100008865</v>
      </c>
      <c r="AC41" s="2">
        <f t="shared" si="5"/>
        <v>3092.4</v>
      </c>
    </row>
    <row r="42" spans="1:29" x14ac:dyDescent="0.25">
      <c r="A42" s="2">
        <v>8000000</v>
      </c>
      <c r="B42" s="2">
        <v>1498</v>
      </c>
      <c r="C42" s="2">
        <v>10428000812</v>
      </c>
      <c r="D42" s="2">
        <v>480</v>
      </c>
      <c r="E42" s="2"/>
      <c r="F42" s="2">
        <v>8000000</v>
      </c>
      <c r="G42" s="2">
        <v>1496</v>
      </c>
      <c r="H42" s="2">
        <v>28908004852</v>
      </c>
      <c r="I42" s="2">
        <v>1774</v>
      </c>
      <c r="J42" s="2"/>
      <c r="K42" s="2">
        <v>8000000</v>
      </c>
      <c r="L42" s="2">
        <v>1490</v>
      </c>
      <c r="M42" s="2">
        <v>47388008892</v>
      </c>
      <c r="N42" s="2">
        <v>3087</v>
      </c>
      <c r="O42" s="2"/>
      <c r="P42" s="2">
        <v>8000000</v>
      </c>
      <c r="Q42" s="2">
        <v>1488</v>
      </c>
      <c r="R42" s="2">
        <v>65868012932</v>
      </c>
      <c r="S42" s="2">
        <v>4400</v>
      </c>
      <c r="T42" s="2"/>
      <c r="U42" s="2">
        <v>8000000</v>
      </c>
      <c r="V42" s="2">
        <v>2696</v>
      </c>
      <c r="W42" s="2">
        <v>84348016972</v>
      </c>
      <c r="X42" s="2">
        <v>5786</v>
      </c>
      <c r="Y42" s="2"/>
      <c r="Z42" s="2">
        <v>8000000</v>
      </c>
      <c r="AA42" s="2">
        <f t="shared" si="3"/>
        <v>1733.6</v>
      </c>
      <c r="AB42" s="2">
        <f t="shared" si="4"/>
        <v>47388008892</v>
      </c>
      <c r="AC42" s="2">
        <f t="shared" si="5"/>
        <v>3105.4</v>
      </c>
    </row>
    <row r="43" spans="1:29" x14ac:dyDescent="0.25">
      <c r="A43" s="2">
        <v>8500000</v>
      </c>
      <c r="B43" s="2">
        <v>1567</v>
      </c>
      <c r="C43" s="2">
        <v>10734000839</v>
      </c>
      <c r="D43" s="2">
        <v>493</v>
      </c>
      <c r="E43" s="2"/>
      <c r="F43" s="2">
        <v>8500000</v>
      </c>
      <c r="G43" s="2">
        <v>1566</v>
      </c>
      <c r="H43" s="2">
        <v>29214004879</v>
      </c>
      <c r="I43" s="2">
        <v>1790</v>
      </c>
      <c r="J43" s="2"/>
      <c r="K43" s="2">
        <v>8500000</v>
      </c>
      <c r="L43" s="2">
        <v>1576</v>
      </c>
      <c r="M43" s="2">
        <v>47694008919</v>
      </c>
      <c r="N43" s="2">
        <v>3102</v>
      </c>
      <c r="O43" s="2"/>
      <c r="P43" s="2">
        <v>8500000</v>
      </c>
      <c r="Q43" s="2">
        <v>1583</v>
      </c>
      <c r="R43" s="2">
        <v>66174012959</v>
      </c>
      <c r="S43" s="2">
        <v>4418</v>
      </c>
      <c r="T43" s="2"/>
      <c r="U43" s="2">
        <v>8500000</v>
      </c>
      <c r="V43" s="2">
        <v>2862</v>
      </c>
      <c r="W43" s="2">
        <v>84654016999</v>
      </c>
      <c r="X43" s="2">
        <v>5798</v>
      </c>
      <c r="Y43" s="2"/>
      <c r="Z43" s="2">
        <v>8500000</v>
      </c>
      <c r="AA43" s="2">
        <f t="shared" si="3"/>
        <v>1830.8</v>
      </c>
      <c r="AB43" s="2">
        <f t="shared" si="4"/>
        <v>47694008919</v>
      </c>
      <c r="AC43" s="2">
        <f t="shared" si="5"/>
        <v>3120.2</v>
      </c>
    </row>
    <row r="44" spans="1:29" x14ac:dyDescent="0.25">
      <c r="A44" s="2">
        <v>9000000</v>
      </c>
      <c r="B44" s="2">
        <v>1668</v>
      </c>
      <c r="C44" s="2">
        <v>11058000866</v>
      </c>
      <c r="D44" s="2">
        <v>503</v>
      </c>
      <c r="E44" s="2"/>
      <c r="F44" s="2">
        <v>9000000</v>
      </c>
      <c r="G44" s="2">
        <v>1671</v>
      </c>
      <c r="H44" s="2">
        <v>29538004906</v>
      </c>
      <c r="I44" s="2">
        <v>1797</v>
      </c>
      <c r="J44" s="2"/>
      <c r="K44" s="2">
        <v>9000000</v>
      </c>
      <c r="L44" s="2">
        <v>1666</v>
      </c>
      <c r="M44" s="2">
        <v>48018008946</v>
      </c>
      <c r="N44" s="2">
        <v>3114</v>
      </c>
      <c r="O44" s="2"/>
      <c r="P44" s="2">
        <v>9000000</v>
      </c>
      <c r="Q44" s="2">
        <v>1661</v>
      </c>
      <c r="R44" s="2">
        <v>66498012986</v>
      </c>
      <c r="S44" s="2">
        <v>4434</v>
      </c>
      <c r="T44" s="2"/>
      <c r="U44" s="2">
        <v>9000000</v>
      </c>
      <c r="V44" s="2">
        <v>3006</v>
      </c>
      <c r="W44" s="2">
        <v>84978017026</v>
      </c>
      <c r="X44" s="2">
        <v>5808</v>
      </c>
      <c r="Y44" s="2"/>
      <c r="Z44" s="2">
        <v>9000000</v>
      </c>
      <c r="AA44" s="2">
        <f t="shared" si="3"/>
        <v>1934.4</v>
      </c>
      <c r="AB44" s="2">
        <f t="shared" si="4"/>
        <v>48018008946</v>
      </c>
      <c r="AC44" s="2">
        <f t="shared" si="5"/>
        <v>3131.2</v>
      </c>
    </row>
    <row r="45" spans="1:29" x14ac:dyDescent="0.25">
      <c r="A45" s="2">
        <v>9500000</v>
      </c>
      <c r="B45" s="2">
        <v>1776</v>
      </c>
      <c r="C45" s="2">
        <v>11400000893</v>
      </c>
      <c r="D45" s="2">
        <v>517</v>
      </c>
      <c r="E45" s="2"/>
      <c r="F45" s="2">
        <v>9500000</v>
      </c>
      <c r="G45" s="2">
        <v>1781</v>
      </c>
      <c r="H45" s="2">
        <v>29880004933</v>
      </c>
      <c r="I45" s="2">
        <v>1808</v>
      </c>
      <c r="J45" s="2"/>
      <c r="K45" s="2">
        <v>9500000</v>
      </c>
      <c r="L45" s="2">
        <v>1773</v>
      </c>
      <c r="M45" s="2">
        <v>48360008973</v>
      </c>
      <c r="N45" s="2">
        <v>3126</v>
      </c>
      <c r="O45" s="2"/>
      <c r="P45" s="2">
        <v>9500000</v>
      </c>
      <c r="Q45" s="2">
        <v>1774</v>
      </c>
      <c r="R45" s="2">
        <v>66840013013</v>
      </c>
      <c r="S45" s="2">
        <v>4439</v>
      </c>
      <c r="T45" s="2"/>
      <c r="U45" s="2">
        <v>9500000</v>
      </c>
      <c r="V45" s="2">
        <v>3181</v>
      </c>
      <c r="W45" s="2">
        <v>85320017053</v>
      </c>
      <c r="X45" s="2">
        <v>5820</v>
      </c>
      <c r="Y45" s="2"/>
      <c r="Z45" s="2">
        <v>9500000</v>
      </c>
      <c r="AA45" s="2">
        <f t="shared" si="3"/>
        <v>2057</v>
      </c>
      <c r="AB45" s="2">
        <f t="shared" si="4"/>
        <v>48360008973</v>
      </c>
      <c r="AC45" s="2">
        <f t="shared" si="5"/>
        <v>3142</v>
      </c>
    </row>
    <row r="46" spans="1:29" x14ac:dyDescent="0.25">
      <c r="A46" s="2">
        <v>10000000</v>
      </c>
      <c r="B46" s="2">
        <v>1872</v>
      </c>
      <c r="C46" s="2">
        <v>11760000920</v>
      </c>
      <c r="D46" s="2">
        <v>525</v>
      </c>
      <c r="E46" s="2"/>
      <c r="F46" s="2">
        <v>10000000</v>
      </c>
      <c r="G46" s="2">
        <v>1862</v>
      </c>
      <c r="H46" s="2">
        <v>30240004960</v>
      </c>
      <c r="I46" s="2">
        <v>1827</v>
      </c>
      <c r="J46" s="2"/>
      <c r="K46" s="2">
        <v>10000000</v>
      </c>
      <c r="L46" s="2">
        <v>1867</v>
      </c>
      <c r="M46" s="2">
        <v>48720009000</v>
      </c>
      <c r="N46" s="2">
        <v>3142</v>
      </c>
      <c r="O46" s="2"/>
      <c r="P46" s="2">
        <v>10000000</v>
      </c>
      <c r="Q46" s="2">
        <v>1872</v>
      </c>
      <c r="R46" s="2">
        <v>67200013040</v>
      </c>
      <c r="S46" s="2">
        <v>4458</v>
      </c>
      <c r="T46" s="2"/>
      <c r="U46" s="2">
        <v>10000000</v>
      </c>
      <c r="V46" s="2">
        <v>3359</v>
      </c>
      <c r="W46" s="2">
        <v>85680017080</v>
      </c>
      <c r="X46" s="2">
        <v>5834</v>
      </c>
      <c r="Y46" s="2"/>
      <c r="Z46" s="2">
        <v>10000000</v>
      </c>
      <c r="AA46" s="2">
        <f t="shared" si="3"/>
        <v>2166.4</v>
      </c>
      <c r="AB46" s="2">
        <f t="shared" si="4"/>
        <v>48720009000</v>
      </c>
      <c r="AC46" s="2">
        <f t="shared" si="5"/>
        <v>3157.2</v>
      </c>
    </row>
    <row r="49" spans="1:29" x14ac:dyDescent="0.25">
      <c r="A49" s="3" t="s">
        <v>38</v>
      </c>
      <c r="B49" s="3"/>
      <c r="C49" s="3"/>
      <c r="D49" s="3"/>
      <c r="F49" s="3" t="s">
        <v>38</v>
      </c>
      <c r="G49" s="3"/>
      <c r="H49" s="3"/>
      <c r="I49" s="3"/>
      <c r="K49" s="3" t="s">
        <v>38</v>
      </c>
      <c r="L49" s="3"/>
      <c r="M49" s="3"/>
      <c r="N49" s="3"/>
      <c r="P49" s="3" t="s">
        <v>38</v>
      </c>
      <c r="Q49" s="3"/>
      <c r="R49" s="3"/>
      <c r="S49" s="3"/>
      <c r="U49" s="3" t="s">
        <v>38</v>
      </c>
      <c r="V49" s="3"/>
      <c r="W49" s="3"/>
      <c r="X49" s="3"/>
      <c r="Z49" s="3" t="s">
        <v>39</v>
      </c>
      <c r="AA49" s="3"/>
      <c r="AB49" s="3"/>
      <c r="AC49" s="3"/>
    </row>
    <row r="50" spans="1:29" x14ac:dyDescent="0.25">
      <c r="A50" t="s">
        <v>24</v>
      </c>
      <c r="B50" t="s">
        <v>25</v>
      </c>
      <c r="C50" t="s">
        <v>26</v>
      </c>
      <c r="D50" t="s">
        <v>27</v>
      </c>
      <c r="F50" t="s">
        <v>24</v>
      </c>
      <c r="G50" t="s">
        <v>25</v>
      </c>
      <c r="H50" t="s">
        <v>26</v>
      </c>
      <c r="I50" t="s">
        <v>27</v>
      </c>
      <c r="K50" t="s">
        <v>24</v>
      </c>
      <c r="L50" t="s">
        <v>25</v>
      </c>
      <c r="M50" t="s">
        <v>26</v>
      </c>
      <c r="N50" t="s">
        <v>27</v>
      </c>
      <c r="P50" t="s">
        <v>24</v>
      </c>
      <c r="Q50" t="s">
        <v>25</v>
      </c>
      <c r="R50" t="s">
        <v>26</v>
      </c>
      <c r="S50" t="s">
        <v>27</v>
      </c>
      <c r="U50" t="s">
        <v>24</v>
      </c>
      <c r="V50" t="s">
        <v>25</v>
      </c>
      <c r="W50" t="s">
        <v>26</v>
      </c>
      <c r="X50" t="s">
        <v>27</v>
      </c>
      <c r="Z50" t="s">
        <v>24</v>
      </c>
      <c r="AA50" t="s">
        <v>25</v>
      </c>
      <c r="AB50" t="s">
        <v>26</v>
      </c>
      <c r="AC50" t="s">
        <v>27</v>
      </c>
    </row>
    <row r="51" spans="1:29" x14ac:dyDescent="0.25">
      <c r="A51" s="2">
        <v>500000</v>
      </c>
      <c r="B51" s="2">
        <v>63</v>
      </c>
      <c r="C51" s="2">
        <v>11772000962</v>
      </c>
      <c r="D51" s="2">
        <v>532</v>
      </c>
      <c r="E51" s="2"/>
      <c r="F51" s="2">
        <v>500000</v>
      </c>
      <c r="G51" s="2">
        <v>63</v>
      </c>
      <c r="H51" s="2">
        <v>30252005002</v>
      </c>
      <c r="I51" s="2">
        <v>1839</v>
      </c>
      <c r="J51" s="2"/>
      <c r="K51" s="2">
        <v>500000</v>
      </c>
      <c r="L51" s="2">
        <v>62</v>
      </c>
      <c r="M51" s="2">
        <v>48732009042</v>
      </c>
      <c r="N51" s="2">
        <v>3155</v>
      </c>
      <c r="O51" s="2"/>
      <c r="P51" s="2">
        <v>500000</v>
      </c>
      <c r="Q51" s="2">
        <v>62</v>
      </c>
      <c r="R51" s="2">
        <v>67212013082</v>
      </c>
      <c r="S51" s="2">
        <v>4472</v>
      </c>
      <c r="T51" s="2"/>
      <c r="U51" s="2">
        <v>500000</v>
      </c>
      <c r="V51" s="2">
        <v>113</v>
      </c>
      <c r="W51" s="2">
        <v>85692017122</v>
      </c>
      <c r="X51" s="2">
        <v>5845</v>
      </c>
      <c r="Y51" s="2"/>
      <c r="Z51" s="2">
        <v>500000</v>
      </c>
      <c r="AA51" s="2">
        <f t="shared" ref="AA51:AA70" si="6">AVERAGE(B51,G51,L51,Q51,V51)</f>
        <v>72.599999999999994</v>
      </c>
      <c r="AB51" s="2">
        <f t="shared" ref="AB51:AB70" si="7">AVERAGE(C51,H51,M51,R51,W51)</f>
        <v>48732009042</v>
      </c>
      <c r="AC51" s="2">
        <f t="shared" ref="AC51:AC70" si="8">AVERAGE(D51,I51,N51,S51,X51)</f>
        <v>3168.6</v>
      </c>
    </row>
    <row r="52" spans="1:29" x14ac:dyDescent="0.25">
      <c r="A52" s="2">
        <v>1000000</v>
      </c>
      <c r="B52" s="2">
        <v>124</v>
      </c>
      <c r="C52" s="2">
        <v>11796001004</v>
      </c>
      <c r="D52" s="2">
        <v>549</v>
      </c>
      <c r="E52" s="2"/>
      <c r="F52" s="2">
        <v>1000000</v>
      </c>
      <c r="G52" s="2">
        <v>122</v>
      </c>
      <c r="H52" s="2">
        <v>30276005044</v>
      </c>
      <c r="I52" s="2">
        <v>1846</v>
      </c>
      <c r="J52" s="2"/>
      <c r="K52" s="2">
        <v>1000000</v>
      </c>
      <c r="L52" s="2">
        <v>124</v>
      </c>
      <c r="M52" s="2">
        <v>48756009084</v>
      </c>
      <c r="N52" s="2">
        <v>3163</v>
      </c>
      <c r="O52" s="2"/>
      <c r="P52" s="2">
        <v>1000000</v>
      </c>
      <c r="Q52" s="2">
        <v>125</v>
      </c>
      <c r="R52" s="2">
        <v>67236013124</v>
      </c>
      <c r="S52" s="2">
        <v>4483</v>
      </c>
      <c r="T52" s="2"/>
      <c r="U52" s="2">
        <v>1000000</v>
      </c>
      <c r="V52" s="2">
        <v>224</v>
      </c>
      <c r="W52" s="2">
        <v>85716017164</v>
      </c>
      <c r="X52" s="2">
        <v>5855</v>
      </c>
      <c r="Y52" s="2"/>
      <c r="Z52" s="2">
        <v>1000000</v>
      </c>
      <c r="AA52" s="2">
        <f t="shared" si="6"/>
        <v>143.80000000000001</v>
      </c>
      <c r="AB52" s="2">
        <f t="shared" si="7"/>
        <v>48756009084</v>
      </c>
      <c r="AC52" s="2">
        <f t="shared" si="8"/>
        <v>3179.2</v>
      </c>
    </row>
    <row r="53" spans="1:29" x14ac:dyDescent="0.25">
      <c r="A53" s="2">
        <v>1500000</v>
      </c>
      <c r="B53" s="2">
        <v>186</v>
      </c>
      <c r="C53" s="2">
        <v>11832001046</v>
      </c>
      <c r="D53" s="2">
        <v>557</v>
      </c>
      <c r="E53" s="2"/>
      <c r="F53" s="2">
        <v>1500000</v>
      </c>
      <c r="G53" s="2">
        <v>182</v>
      </c>
      <c r="H53" s="2">
        <v>30312005086</v>
      </c>
      <c r="I53" s="2">
        <v>1863</v>
      </c>
      <c r="J53" s="2"/>
      <c r="K53" s="2">
        <v>1500000</v>
      </c>
      <c r="L53" s="2">
        <v>185</v>
      </c>
      <c r="M53" s="2">
        <v>48792009126</v>
      </c>
      <c r="N53" s="2">
        <v>3180</v>
      </c>
      <c r="O53" s="2"/>
      <c r="P53" s="2">
        <v>1500000</v>
      </c>
      <c r="Q53" s="2">
        <v>183</v>
      </c>
      <c r="R53" s="2">
        <v>67272013166</v>
      </c>
      <c r="S53" s="2">
        <v>4494</v>
      </c>
      <c r="T53" s="2"/>
      <c r="U53" s="2">
        <v>1500000</v>
      </c>
      <c r="V53" s="2">
        <v>331</v>
      </c>
      <c r="W53" s="2">
        <v>85752017206</v>
      </c>
      <c r="X53" s="2">
        <v>5870</v>
      </c>
      <c r="Y53" s="2"/>
      <c r="Z53" s="2">
        <v>1500000</v>
      </c>
      <c r="AA53" s="2">
        <f t="shared" si="6"/>
        <v>213.4</v>
      </c>
      <c r="AB53" s="2">
        <f t="shared" si="7"/>
        <v>48792009126</v>
      </c>
      <c r="AC53" s="2">
        <f t="shared" si="8"/>
        <v>3192.8</v>
      </c>
    </row>
    <row r="54" spans="1:29" x14ac:dyDescent="0.25">
      <c r="A54" s="2">
        <v>2000000</v>
      </c>
      <c r="B54" s="2">
        <v>247</v>
      </c>
      <c r="C54" s="2">
        <v>11880001088</v>
      </c>
      <c r="D54" s="2">
        <v>568</v>
      </c>
      <c r="E54" s="2"/>
      <c r="F54" s="2">
        <v>2000000</v>
      </c>
      <c r="G54" s="2">
        <v>250</v>
      </c>
      <c r="H54" s="2">
        <v>30360005128</v>
      </c>
      <c r="I54" s="2">
        <v>1878</v>
      </c>
      <c r="J54" s="2"/>
      <c r="K54" s="2">
        <v>2000000</v>
      </c>
      <c r="L54" s="2">
        <v>247</v>
      </c>
      <c r="M54" s="2">
        <v>48840009168</v>
      </c>
      <c r="N54" s="2">
        <v>3192</v>
      </c>
      <c r="O54" s="2"/>
      <c r="P54" s="2">
        <v>2000000</v>
      </c>
      <c r="Q54" s="2">
        <v>247</v>
      </c>
      <c r="R54" s="2">
        <v>67320013208</v>
      </c>
      <c r="S54" s="2">
        <v>4502</v>
      </c>
      <c r="T54" s="2"/>
      <c r="U54" s="2">
        <v>2000000</v>
      </c>
      <c r="V54" s="2">
        <v>439</v>
      </c>
      <c r="W54" s="2">
        <v>85800017248</v>
      </c>
      <c r="X54" s="2">
        <v>5878</v>
      </c>
      <c r="Y54" s="2"/>
      <c r="Z54" s="2">
        <v>2000000</v>
      </c>
      <c r="AA54" s="2">
        <f t="shared" si="6"/>
        <v>286</v>
      </c>
      <c r="AB54" s="2">
        <f t="shared" si="7"/>
        <v>48840009168</v>
      </c>
      <c r="AC54" s="2">
        <f t="shared" si="8"/>
        <v>3203.6</v>
      </c>
    </row>
    <row r="55" spans="1:29" x14ac:dyDescent="0.25">
      <c r="A55" s="2">
        <v>2500000</v>
      </c>
      <c r="B55" s="2">
        <v>311</v>
      </c>
      <c r="C55" s="2">
        <v>11940001130</v>
      </c>
      <c r="D55" s="2">
        <v>588</v>
      </c>
      <c r="E55" s="2"/>
      <c r="F55" s="2">
        <v>2500000</v>
      </c>
      <c r="G55" s="2">
        <v>310</v>
      </c>
      <c r="H55" s="2">
        <v>30420005170</v>
      </c>
      <c r="I55" s="2">
        <v>1886</v>
      </c>
      <c r="J55" s="2"/>
      <c r="K55" s="2">
        <v>2500000</v>
      </c>
      <c r="L55" s="2">
        <v>308</v>
      </c>
      <c r="M55" s="2">
        <v>48900009210</v>
      </c>
      <c r="N55" s="2">
        <v>3203</v>
      </c>
      <c r="O55" s="2"/>
      <c r="P55" s="2">
        <v>2500000</v>
      </c>
      <c r="Q55" s="2">
        <v>309</v>
      </c>
      <c r="R55" s="2">
        <v>67380013250</v>
      </c>
      <c r="S55" s="2">
        <v>4517</v>
      </c>
      <c r="T55" s="2"/>
      <c r="U55" s="2">
        <v>2500000</v>
      </c>
      <c r="V55" s="2">
        <v>557</v>
      </c>
      <c r="W55" s="2">
        <v>85860017290</v>
      </c>
      <c r="X55" s="2">
        <v>5891</v>
      </c>
      <c r="Y55" s="2"/>
      <c r="Z55" s="2">
        <v>2500000</v>
      </c>
      <c r="AA55" s="2">
        <f t="shared" si="6"/>
        <v>359</v>
      </c>
      <c r="AB55" s="2">
        <f t="shared" si="7"/>
        <v>48900009210</v>
      </c>
      <c r="AC55" s="2">
        <f t="shared" si="8"/>
        <v>3217</v>
      </c>
    </row>
    <row r="56" spans="1:29" x14ac:dyDescent="0.25">
      <c r="A56" s="2">
        <v>3000000</v>
      </c>
      <c r="B56" s="2">
        <v>375</v>
      </c>
      <c r="C56" s="2">
        <v>12012001172</v>
      </c>
      <c r="D56" s="2">
        <v>602</v>
      </c>
      <c r="E56" s="2"/>
      <c r="F56" s="2">
        <v>3000000</v>
      </c>
      <c r="G56" s="2">
        <v>367</v>
      </c>
      <c r="H56" s="2">
        <v>30492005212</v>
      </c>
      <c r="I56" s="2">
        <v>1901</v>
      </c>
      <c r="J56" s="2"/>
      <c r="K56" s="2">
        <v>3000000</v>
      </c>
      <c r="L56" s="2">
        <v>374</v>
      </c>
      <c r="M56" s="2">
        <v>48972009252</v>
      </c>
      <c r="N56" s="2">
        <v>3219</v>
      </c>
      <c r="O56" s="2"/>
      <c r="P56" s="2">
        <v>3000000</v>
      </c>
      <c r="Q56" s="2">
        <v>374</v>
      </c>
      <c r="R56" s="2">
        <v>67452013292</v>
      </c>
      <c r="S56" s="2">
        <v>4525</v>
      </c>
      <c r="T56" s="2"/>
      <c r="U56" s="2">
        <v>3000000</v>
      </c>
      <c r="V56" s="2">
        <v>671</v>
      </c>
      <c r="W56" s="2">
        <v>85932017332</v>
      </c>
      <c r="X56" s="2">
        <v>5907</v>
      </c>
      <c r="Y56" s="2"/>
      <c r="Z56" s="2">
        <v>3000000</v>
      </c>
      <c r="AA56" s="2">
        <f t="shared" si="6"/>
        <v>432.2</v>
      </c>
      <c r="AB56" s="2">
        <f t="shared" si="7"/>
        <v>48972009252</v>
      </c>
      <c r="AC56" s="2">
        <f t="shared" si="8"/>
        <v>3230.8</v>
      </c>
    </row>
    <row r="57" spans="1:29" x14ac:dyDescent="0.25">
      <c r="A57" s="2">
        <v>3500000</v>
      </c>
      <c r="B57" s="2">
        <v>425</v>
      </c>
      <c r="C57" s="2">
        <v>12096001214</v>
      </c>
      <c r="D57" s="2">
        <v>621</v>
      </c>
      <c r="E57" s="2"/>
      <c r="F57" s="2">
        <v>3500000</v>
      </c>
      <c r="G57" s="2">
        <v>425</v>
      </c>
      <c r="H57" s="2">
        <v>30576005254</v>
      </c>
      <c r="I57" s="2">
        <v>1912</v>
      </c>
      <c r="J57" s="2"/>
      <c r="K57" s="2">
        <v>3500000</v>
      </c>
      <c r="L57" s="2">
        <v>435</v>
      </c>
      <c r="M57" s="2">
        <v>49056009294</v>
      </c>
      <c r="N57" s="2">
        <v>3236</v>
      </c>
      <c r="O57" s="2"/>
      <c r="P57" s="2">
        <v>3500000</v>
      </c>
      <c r="Q57" s="2">
        <v>437</v>
      </c>
      <c r="R57" s="2">
        <v>67536013334</v>
      </c>
      <c r="S57" s="2">
        <v>4540</v>
      </c>
      <c r="T57" s="2"/>
      <c r="U57" s="2">
        <v>3500000</v>
      </c>
      <c r="V57" s="2">
        <v>790</v>
      </c>
      <c r="W57" s="2">
        <v>86016017374</v>
      </c>
      <c r="X57" s="2">
        <v>5929</v>
      </c>
      <c r="Y57" s="2"/>
      <c r="Z57" s="2">
        <v>3500000</v>
      </c>
      <c r="AA57" s="2">
        <f t="shared" si="6"/>
        <v>502.4</v>
      </c>
      <c r="AB57" s="2">
        <f t="shared" si="7"/>
        <v>49056009294</v>
      </c>
      <c r="AC57" s="2">
        <f t="shared" si="8"/>
        <v>3247.6</v>
      </c>
    </row>
    <row r="58" spans="1:29" x14ac:dyDescent="0.25">
      <c r="A58" s="2">
        <v>4000000</v>
      </c>
      <c r="B58" s="2">
        <v>497</v>
      </c>
      <c r="C58" s="2">
        <v>12192001256</v>
      </c>
      <c r="D58" s="2">
        <v>634</v>
      </c>
      <c r="E58" s="2"/>
      <c r="F58" s="2">
        <v>4000000</v>
      </c>
      <c r="G58" s="2">
        <v>497</v>
      </c>
      <c r="H58" s="2">
        <v>30672005296</v>
      </c>
      <c r="I58" s="2">
        <v>1925</v>
      </c>
      <c r="J58" s="2"/>
      <c r="K58" s="2">
        <v>4000000</v>
      </c>
      <c r="L58" s="2">
        <v>498</v>
      </c>
      <c r="M58" s="2">
        <v>49152009336</v>
      </c>
      <c r="N58" s="2">
        <v>3250</v>
      </c>
      <c r="O58" s="2"/>
      <c r="P58" s="2">
        <v>4000000</v>
      </c>
      <c r="Q58" s="2">
        <v>502</v>
      </c>
      <c r="R58" s="2">
        <v>67632013376</v>
      </c>
      <c r="S58" s="2">
        <v>4556</v>
      </c>
      <c r="T58" s="2"/>
      <c r="U58" s="2">
        <v>4000000</v>
      </c>
      <c r="V58" s="2">
        <v>899</v>
      </c>
      <c r="W58" s="2">
        <v>86112017416</v>
      </c>
      <c r="X58" s="2">
        <v>5945</v>
      </c>
      <c r="Y58" s="2"/>
      <c r="Z58" s="2">
        <v>4000000</v>
      </c>
      <c r="AA58" s="2">
        <f t="shared" si="6"/>
        <v>578.6</v>
      </c>
      <c r="AB58" s="2">
        <f t="shared" si="7"/>
        <v>49152009336</v>
      </c>
      <c r="AC58" s="2">
        <f t="shared" si="8"/>
        <v>3262</v>
      </c>
    </row>
    <row r="59" spans="1:29" x14ac:dyDescent="0.25">
      <c r="A59" s="2">
        <v>4500000</v>
      </c>
      <c r="B59" s="2">
        <v>562</v>
      </c>
      <c r="C59" s="2">
        <v>12300001298</v>
      </c>
      <c r="D59" s="2">
        <v>647</v>
      </c>
      <c r="E59" s="2"/>
      <c r="F59" s="2">
        <v>4500000</v>
      </c>
      <c r="G59" s="2">
        <v>558</v>
      </c>
      <c r="H59" s="2">
        <v>30780005338</v>
      </c>
      <c r="I59" s="2">
        <v>1940</v>
      </c>
      <c r="J59" s="2"/>
      <c r="K59" s="2">
        <v>4500000</v>
      </c>
      <c r="L59" s="2">
        <v>566</v>
      </c>
      <c r="M59" s="2">
        <v>49260009378</v>
      </c>
      <c r="N59" s="2">
        <v>3261</v>
      </c>
      <c r="O59" s="2"/>
      <c r="P59" s="2">
        <v>4500000</v>
      </c>
      <c r="Q59" s="2">
        <v>558</v>
      </c>
      <c r="R59" s="2">
        <v>67740013418</v>
      </c>
      <c r="S59" s="2">
        <v>4573</v>
      </c>
      <c r="T59" s="2"/>
      <c r="U59" s="2">
        <v>4500000</v>
      </c>
      <c r="V59" s="2">
        <v>1009</v>
      </c>
      <c r="W59" s="2">
        <v>86220017458</v>
      </c>
      <c r="X59" s="2">
        <v>5961</v>
      </c>
      <c r="Y59" s="2"/>
      <c r="Z59" s="2">
        <v>4500000</v>
      </c>
      <c r="AA59" s="2">
        <f t="shared" si="6"/>
        <v>650.6</v>
      </c>
      <c r="AB59" s="2">
        <f t="shared" si="7"/>
        <v>49260009378</v>
      </c>
      <c r="AC59" s="2">
        <f t="shared" si="8"/>
        <v>3276.4</v>
      </c>
    </row>
    <row r="60" spans="1:29" x14ac:dyDescent="0.25">
      <c r="A60" s="2">
        <v>5000000</v>
      </c>
      <c r="B60" s="2">
        <v>620</v>
      </c>
      <c r="C60" s="2">
        <v>12420001340</v>
      </c>
      <c r="D60" s="2">
        <v>660</v>
      </c>
      <c r="E60" s="2"/>
      <c r="F60" s="2">
        <v>5000000</v>
      </c>
      <c r="G60" s="2">
        <v>624</v>
      </c>
      <c r="H60" s="2">
        <v>30900005380</v>
      </c>
      <c r="I60" s="2">
        <v>1955</v>
      </c>
      <c r="J60" s="2"/>
      <c r="K60" s="2">
        <v>5000000</v>
      </c>
      <c r="L60" s="2">
        <v>623</v>
      </c>
      <c r="M60" s="2">
        <v>49380009420</v>
      </c>
      <c r="N60" s="2">
        <v>3268</v>
      </c>
      <c r="O60" s="2"/>
      <c r="P60" s="2">
        <v>5000000</v>
      </c>
      <c r="Q60" s="2">
        <v>605</v>
      </c>
      <c r="R60" s="2">
        <v>67860013460</v>
      </c>
      <c r="S60" s="2">
        <v>4593</v>
      </c>
      <c r="T60" s="2"/>
      <c r="U60" s="2">
        <v>5000000</v>
      </c>
      <c r="V60" s="2">
        <v>1130</v>
      </c>
      <c r="W60" s="2">
        <v>86340017500</v>
      </c>
      <c r="X60" s="2">
        <v>5975</v>
      </c>
      <c r="Y60" s="2"/>
      <c r="Z60" s="2">
        <v>5000000</v>
      </c>
      <c r="AA60" s="2">
        <f t="shared" si="6"/>
        <v>720.4</v>
      </c>
      <c r="AB60" s="2">
        <f t="shared" si="7"/>
        <v>49380009420</v>
      </c>
      <c r="AC60" s="2">
        <f t="shared" si="8"/>
        <v>3290.2</v>
      </c>
    </row>
    <row r="61" spans="1:29" x14ac:dyDescent="0.25">
      <c r="A61" s="2">
        <v>5500000</v>
      </c>
      <c r="B61" s="2">
        <v>676</v>
      </c>
      <c r="C61" s="2">
        <v>12552001382</v>
      </c>
      <c r="D61" s="2">
        <v>671</v>
      </c>
      <c r="E61" s="2"/>
      <c r="F61" s="2">
        <v>5500000</v>
      </c>
      <c r="G61" s="2">
        <v>675</v>
      </c>
      <c r="H61" s="2">
        <v>31032005422</v>
      </c>
      <c r="I61" s="2">
        <v>1964</v>
      </c>
      <c r="J61" s="2"/>
      <c r="K61" s="2">
        <v>5500000</v>
      </c>
      <c r="L61" s="2">
        <v>683</v>
      </c>
      <c r="M61" s="2">
        <v>49512009462</v>
      </c>
      <c r="N61" s="2">
        <v>3284</v>
      </c>
      <c r="O61" s="2"/>
      <c r="P61" s="2">
        <v>5500000</v>
      </c>
      <c r="Q61" s="2">
        <v>671</v>
      </c>
      <c r="R61" s="2">
        <v>67992013502</v>
      </c>
      <c r="S61" s="2">
        <v>4608</v>
      </c>
      <c r="T61" s="2"/>
      <c r="U61" s="2">
        <v>5500000</v>
      </c>
      <c r="V61" s="2">
        <v>1241</v>
      </c>
      <c r="W61" s="2">
        <v>86472017542</v>
      </c>
      <c r="X61" s="2">
        <v>5986</v>
      </c>
      <c r="Y61" s="2"/>
      <c r="Z61" s="2">
        <v>5500000</v>
      </c>
      <c r="AA61" s="2">
        <f t="shared" si="6"/>
        <v>789.2</v>
      </c>
      <c r="AB61" s="2">
        <f t="shared" si="7"/>
        <v>49512009462</v>
      </c>
      <c r="AC61" s="2">
        <f t="shared" si="8"/>
        <v>3302.6</v>
      </c>
    </row>
    <row r="62" spans="1:29" x14ac:dyDescent="0.25">
      <c r="A62" s="2">
        <v>6000000</v>
      </c>
      <c r="B62" s="2">
        <v>732</v>
      </c>
      <c r="C62" s="2">
        <v>12696001424</v>
      </c>
      <c r="D62" s="2">
        <v>688</v>
      </c>
      <c r="E62" s="2"/>
      <c r="F62" s="2">
        <v>6000000</v>
      </c>
      <c r="G62" s="2">
        <v>732</v>
      </c>
      <c r="H62" s="2">
        <v>31176005464</v>
      </c>
      <c r="I62" s="2">
        <v>1977</v>
      </c>
      <c r="J62" s="2"/>
      <c r="K62" s="2">
        <v>6000000</v>
      </c>
      <c r="L62" s="2">
        <v>736</v>
      </c>
      <c r="M62" s="2">
        <v>49656009504</v>
      </c>
      <c r="N62" s="2">
        <v>3298</v>
      </c>
      <c r="O62" s="2"/>
      <c r="P62" s="2">
        <v>6000000</v>
      </c>
      <c r="Q62" s="2">
        <v>749</v>
      </c>
      <c r="R62" s="2">
        <v>68136013544</v>
      </c>
      <c r="S62" s="2">
        <v>4615</v>
      </c>
      <c r="T62" s="2"/>
      <c r="U62" s="2">
        <v>6000000</v>
      </c>
      <c r="V62" s="2">
        <v>1355</v>
      </c>
      <c r="W62" s="2">
        <v>86616017584</v>
      </c>
      <c r="X62" s="2">
        <v>5998</v>
      </c>
      <c r="Y62" s="2"/>
      <c r="Z62" s="2">
        <v>6000000</v>
      </c>
      <c r="AA62" s="2">
        <f t="shared" si="6"/>
        <v>860.8</v>
      </c>
      <c r="AB62" s="2">
        <f t="shared" si="7"/>
        <v>49656009504</v>
      </c>
      <c r="AC62" s="2">
        <f t="shared" si="8"/>
        <v>3315.2</v>
      </c>
    </row>
    <row r="63" spans="1:29" x14ac:dyDescent="0.25">
      <c r="A63" s="2">
        <v>6500000</v>
      </c>
      <c r="B63" s="2">
        <v>791</v>
      </c>
      <c r="C63" s="2">
        <v>12852001466</v>
      </c>
      <c r="D63" s="2">
        <v>700</v>
      </c>
      <c r="E63" s="2"/>
      <c r="F63" s="2">
        <v>6500000</v>
      </c>
      <c r="G63" s="2">
        <v>794</v>
      </c>
      <c r="H63" s="2">
        <v>31332005506</v>
      </c>
      <c r="I63" s="2">
        <v>1987</v>
      </c>
      <c r="J63" s="2"/>
      <c r="K63" s="2">
        <v>6500000</v>
      </c>
      <c r="L63" s="2">
        <v>800</v>
      </c>
      <c r="M63" s="2">
        <v>49812009546</v>
      </c>
      <c r="N63" s="2">
        <v>3310</v>
      </c>
      <c r="O63" s="2"/>
      <c r="P63" s="2">
        <v>6500000</v>
      </c>
      <c r="Q63" s="2">
        <v>805</v>
      </c>
      <c r="R63" s="2">
        <v>68292013586</v>
      </c>
      <c r="S63" s="2">
        <v>4627</v>
      </c>
      <c r="T63" s="2"/>
      <c r="U63" s="2">
        <v>6500000</v>
      </c>
      <c r="V63" s="2">
        <v>1458</v>
      </c>
      <c r="W63" s="2">
        <v>86772017626</v>
      </c>
      <c r="X63" s="2">
        <v>6009</v>
      </c>
      <c r="Y63" s="2"/>
      <c r="Z63" s="2">
        <v>6500000</v>
      </c>
      <c r="AA63" s="2">
        <f t="shared" si="6"/>
        <v>929.6</v>
      </c>
      <c r="AB63" s="2">
        <f t="shared" si="7"/>
        <v>49812009546</v>
      </c>
      <c r="AC63" s="2">
        <f t="shared" si="8"/>
        <v>3326.6</v>
      </c>
    </row>
    <row r="64" spans="1:29" x14ac:dyDescent="0.25">
      <c r="A64" s="2">
        <v>7000000</v>
      </c>
      <c r="B64" s="2">
        <v>873</v>
      </c>
      <c r="C64" s="2">
        <v>13020001508</v>
      </c>
      <c r="D64" s="2">
        <v>711</v>
      </c>
      <c r="E64" s="2"/>
      <c r="F64" s="2">
        <v>7000000</v>
      </c>
      <c r="G64" s="2">
        <v>914</v>
      </c>
      <c r="H64" s="2">
        <v>31500005548</v>
      </c>
      <c r="I64" s="2">
        <v>1999</v>
      </c>
      <c r="J64" s="2"/>
      <c r="K64" s="2">
        <v>7000000</v>
      </c>
      <c r="L64" s="2">
        <v>857</v>
      </c>
      <c r="M64" s="2">
        <v>49980009588</v>
      </c>
      <c r="N64" s="2">
        <v>3330</v>
      </c>
      <c r="O64" s="2"/>
      <c r="P64" s="2">
        <v>7000000</v>
      </c>
      <c r="Q64" s="2">
        <v>875</v>
      </c>
      <c r="R64" s="2">
        <v>68460013628</v>
      </c>
      <c r="S64" s="2">
        <v>4642</v>
      </c>
      <c r="T64" s="2"/>
      <c r="U64" s="2">
        <v>7000000</v>
      </c>
      <c r="V64" s="2">
        <v>1582</v>
      </c>
      <c r="W64" s="2">
        <v>86940017668</v>
      </c>
      <c r="X64" s="2">
        <v>6028</v>
      </c>
      <c r="Y64" s="2"/>
      <c r="Z64" s="2">
        <v>7000000</v>
      </c>
      <c r="AA64" s="2">
        <f t="shared" si="6"/>
        <v>1020.2</v>
      </c>
      <c r="AB64" s="2">
        <f t="shared" si="7"/>
        <v>49980009588</v>
      </c>
      <c r="AC64" s="2">
        <f t="shared" si="8"/>
        <v>3342</v>
      </c>
    </row>
    <row r="65" spans="1:29" x14ac:dyDescent="0.25">
      <c r="A65" s="2">
        <v>7500000</v>
      </c>
      <c r="B65" s="2">
        <v>931</v>
      </c>
      <c r="C65" s="2">
        <v>13200001550</v>
      </c>
      <c r="D65" s="2">
        <v>728</v>
      </c>
      <c r="E65" s="2"/>
      <c r="F65" s="2">
        <v>7500000</v>
      </c>
      <c r="G65" s="2">
        <v>1342</v>
      </c>
      <c r="H65" s="2">
        <v>31680005590</v>
      </c>
      <c r="I65" s="2">
        <v>2013</v>
      </c>
      <c r="J65" s="2"/>
      <c r="K65" s="2">
        <v>7500000</v>
      </c>
      <c r="L65" s="2">
        <v>929</v>
      </c>
      <c r="M65" s="2">
        <v>50160009630</v>
      </c>
      <c r="N65" s="2">
        <v>3349</v>
      </c>
      <c r="O65" s="2"/>
      <c r="P65" s="2">
        <v>7500000</v>
      </c>
      <c r="Q65" s="2">
        <v>934</v>
      </c>
      <c r="R65" s="2">
        <v>68640013670</v>
      </c>
      <c r="S65" s="2">
        <v>4653</v>
      </c>
      <c r="T65" s="2"/>
      <c r="U65" s="2">
        <v>7500000</v>
      </c>
      <c r="V65" s="2">
        <v>1679</v>
      </c>
      <c r="W65" s="2">
        <v>87120017710</v>
      </c>
      <c r="X65" s="2">
        <v>6041</v>
      </c>
      <c r="Y65" s="2"/>
      <c r="Z65" s="2">
        <v>7500000</v>
      </c>
      <c r="AA65" s="2">
        <f t="shared" si="6"/>
        <v>1163</v>
      </c>
      <c r="AB65" s="2">
        <f t="shared" si="7"/>
        <v>50160009630</v>
      </c>
      <c r="AC65" s="2">
        <f t="shared" si="8"/>
        <v>3356.8</v>
      </c>
    </row>
    <row r="66" spans="1:29" x14ac:dyDescent="0.25">
      <c r="A66" s="2">
        <v>8000000</v>
      </c>
      <c r="B66" s="2">
        <v>994</v>
      </c>
      <c r="C66" s="2">
        <v>13392001592</v>
      </c>
      <c r="D66" s="2">
        <v>744</v>
      </c>
      <c r="E66" s="2"/>
      <c r="F66" s="2">
        <v>8000000</v>
      </c>
      <c r="G66" s="2">
        <v>1783</v>
      </c>
      <c r="H66" s="2">
        <v>31872005632</v>
      </c>
      <c r="I66" s="2">
        <v>2034</v>
      </c>
      <c r="J66" s="2"/>
      <c r="K66" s="2">
        <v>8000000</v>
      </c>
      <c r="L66" s="2">
        <v>991</v>
      </c>
      <c r="M66" s="2">
        <v>50352009672</v>
      </c>
      <c r="N66" s="2">
        <v>3361</v>
      </c>
      <c r="O66" s="2"/>
      <c r="P66" s="2">
        <v>8000000</v>
      </c>
      <c r="Q66" s="2">
        <v>988</v>
      </c>
      <c r="R66" s="2">
        <v>68832013712</v>
      </c>
      <c r="S66" s="2">
        <v>4664</v>
      </c>
      <c r="T66" s="2"/>
      <c r="U66" s="2">
        <v>8000000</v>
      </c>
      <c r="V66" s="2">
        <v>1795</v>
      </c>
      <c r="W66" s="2">
        <v>87312017752</v>
      </c>
      <c r="X66" s="2">
        <v>6049</v>
      </c>
      <c r="Y66" s="2"/>
      <c r="Z66" s="2">
        <v>8000000</v>
      </c>
      <c r="AA66" s="2">
        <f t="shared" si="6"/>
        <v>1310.2</v>
      </c>
      <c r="AB66" s="2">
        <f t="shared" si="7"/>
        <v>50352009672</v>
      </c>
      <c r="AC66" s="2">
        <f t="shared" si="8"/>
        <v>3370.4</v>
      </c>
    </row>
    <row r="67" spans="1:29" x14ac:dyDescent="0.25">
      <c r="A67" s="2">
        <v>8500000</v>
      </c>
      <c r="B67" s="2">
        <v>1043</v>
      </c>
      <c r="C67" s="2">
        <v>13596001634</v>
      </c>
      <c r="D67" s="2">
        <v>759</v>
      </c>
      <c r="E67" s="2"/>
      <c r="F67" s="2">
        <v>8500000</v>
      </c>
      <c r="G67" s="2">
        <v>1883</v>
      </c>
      <c r="H67" s="2">
        <v>32076005674</v>
      </c>
      <c r="I67" s="2">
        <v>2046</v>
      </c>
      <c r="J67" s="2"/>
      <c r="K67" s="2">
        <v>8500000</v>
      </c>
      <c r="L67" s="2">
        <v>1031</v>
      </c>
      <c r="M67" s="2">
        <v>50556009714</v>
      </c>
      <c r="N67" s="2">
        <v>3367</v>
      </c>
      <c r="O67" s="2"/>
      <c r="P67" s="2">
        <v>8500000</v>
      </c>
      <c r="Q67" s="2">
        <v>1052</v>
      </c>
      <c r="R67" s="2">
        <v>69036013754</v>
      </c>
      <c r="S67" s="2">
        <v>4679</v>
      </c>
      <c r="T67" s="2"/>
      <c r="U67" s="2">
        <v>8500000</v>
      </c>
      <c r="V67" s="2">
        <v>1600</v>
      </c>
      <c r="W67" s="2">
        <v>87516017794</v>
      </c>
      <c r="X67" s="2">
        <v>6061</v>
      </c>
      <c r="Y67" s="2"/>
      <c r="Z67" s="2">
        <v>8500000</v>
      </c>
      <c r="AA67" s="2">
        <f t="shared" si="6"/>
        <v>1321.8</v>
      </c>
      <c r="AB67" s="2">
        <f t="shared" si="7"/>
        <v>50556009714</v>
      </c>
      <c r="AC67" s="2">
        <f t="shared" si="8"/>
        <v>3382.4</v>
      </c>
    </row>
    <row r="68" spans="1:29" x14ac:dyDescent="0.25">
      <c r="A68" s="2">
        <v>9000000</v>
      </c>
      <c r="B68" s="2">
        <v>1118</v>
      </c>
      <c r="C68" s="2">
        <v>13812001676</v>
      </c>
      <c r="D68" s="2">
        <v>770</v>
      </c>
      <c r="E68" s="2"/>
      <c r="F68" s="2">
        <v>9000000</v>
      </c>
      <c r="G68" s="2">
        <v>2007</v>
      </c>
      <c r="H68" s="2">
        <v>32292005716</v>
      </c>
      <c r="I68" s="2">
        <v>2059</v>
      </c>
      <c r="J68" s="2"/>
      <c r="K68" s="2">
        <v>9000000</v>
      </c>
      <c r="L68" s="2">
        <v>1116</v>
      </c>
      <c r="M68" s="2">
        <v>50772009756</v>
      </c>
      <c r="N68" s="2">
        <v>3377</v>
      </c>
      <c r="O68" s="2"/>
      <c r="P68" s="2">
        <v>9000000</v>
      </c>
      <c r="Q68" s="2">
        <v>1105</v>
      </c>
      <c r="R68" s="2">
        <v>69252013796</v>
      </c>
      <c r="S68" s="2">
        <v>4692</v>
      </c>
      <c r="T68" s="2"/>
      <c r="U68" s="2">
        <v>9000000</v>
      </c>
      <c r="V68" s="2">
        <v>1122</v>
      </c>
      <c r="W68" s="2">
        <v>87732017836</v>
      </c>
      <c r="X68" s="2">
        <v>6071</v>
      </c>
      <c r="Y68" s="2"/>
      <c r="Z68" s="2">
        <v>9000000</v>
      </c>
      <c r="AA68" s="2">
        <f t="shared" si="6"/>
        <v>1293.5999999999999</v>
      </c>
      <c r="AB68" s="2">
        <f t="shared" si="7"/>
        <v>50772009756</v>
      </c>
      <c r="AC68" s="2">
        <f t="shared" si="8"/>
        <v>3393.8</v>
      </c>
    </row>
    <row r="69" spans="1:29" x14ac:dyDescent="0.25">
      <c r="A69" s="2">
        <v>9500000</v>
      </c>
      <c r="B69" s="2">
        <v>1159</v>
      </c>
      <c r="C69" s="2">
        <v>14040001718</v>
      </c>
      <c r="D69" s="2">
        <v>782</v>
      </c>
      <c r="E69" s="2"/>
      <c r="F69" s="2">
        <v>9500000</v>
      </c>
      <c r="G69" s="2">
        <v>2115</v>
      </c>
      <c r="H69" s="2">
        <v>32520005758</v>
      </c>
      <c r="I69" s="2">
        <v>2068</v>
      </c>
      <c r="J69" s="2"/>
      <c r="K69" s="2">
        <v>9500000</v>
      </c>
      <c r="L69" s="2">
        <v>1178</v>
      </c>
      <c r="M69" s="2">
        <v>51000009798</v>
      </c>
      <c r="N69" s="2">
        <v>3388</v>
      </c>
      <c r="O69" s="2"/>
      <c r="P69" s="2">
        <v>9500000</v>
      </c>
      <c r="Q69" s="2">
        <v>1181</v>
      </c>
      <c r="R69" s="2">
        <v>69480013838</v>
      </c>
      <c r="S69" s="2">
        <v>4701</v>
      </c>
      <c r="T69" s="2"/>
      <c r="U69" s="2">
        <v>9500000</v>
      </c>
      <c r="V69" s="2">
        <v>1159</v>
      </c>
      <c r="W69" s="2">
        <v>87960017878</v>
      </c>
      <c r="X69" s="2">
        <v>6087</v>
      </c>
      <c r="Y69" s="2"/>
      <c r="Z69" s="2">
        <v>9500000</v>
      </c>
      <c r="AA69" s="2">
        <f t="shared" si="6"/>
        <v>1358.4</v>
      </c>
      <c r="AB69" s="2">
        <f t="shared" si="7"/>
        <v>51000009798</v>
      </c>
      <c r="AC69" s="2">
        <f t="shared" si="8"/>
        <v>3405.2</v>
      </c>
    </row>
    <row r="70" spans="1:29" x14ac:dyDescent="0.25">
      <c r="A70" s="2">
        <v>10000000</v>
      </c>
      <c r="B70" s="2">
        <v>1244</v>
      </c>
      <c r="C70" s="2">
        <v>14280001760</v>
      </c>
      <c r="D70" s="2">
        <v>791</v>
      </c>
      <c r="E70" s="2"/>
      <c r="F70" s="2">
        <v>10000000</v>
      </c>
      <c r="G70" s="2">
        <v>2217</v>
      </c>
      <c r="H70" s="2">
        <v>32760005800</v>
      </c>
      <c r="I70" s="2">
        <v>2084</v>
      </c>
      <c r="J70" s="2"/>
      <c r="K70" s="2">
        <v>10000000</v>
      </c>
      <c r="L70" s="2">
        <v>1214</v>
      </c>
      <c r="M70" s="2">
        <v>51240009840</v>
      </c>
      <c r="N70" s="2">
        <v>3401</v>
      </c>
      <c r="O70" s="2"/>
      <c r="P70" s="2">
        <v>10000000</v>
      </c>
      <c r="Q70" s="2">
        <v>1230</v>
      </c>
      <c r="R70" s="2">
        <v>69720013880</v>
      </c>
      <c r="S70" s="2">
        <v>4713</v>
      </c>
      <c r="T70" s="2"/>
      <c r="U70" s="2">
        <v>10000000</v>
      </c>
      <c r="V70" s="2">
        <v>1241</v>
      </c>
      <c r="W70" s="2">
        <v>88200017920</v>
      </c>
      <c r="X70" s="2">
        <v>6102</v>
      </c>
      <c r="Y70" s="2"/>
      <c r="Z70" s="2">
        <v>10000000</v>
      </c>
      <c r="AA70" s="2">
        <f t="shared" si="6"/>
        <v>1429.2</v>
      </c>
      <c r="AB70" s="2">
        <f t="shared" si="7"/>
        <v>51240009840</v>
      </c>
      <c r="AC70" s="2">
        <f t="shared" si="8"/>
        <v>3418.2</v>
      </c>
    </row>
    <row r="73" spans="1:29" x14ac:dyDescent="0.25">
      <c r="A73" s="3" t="s">
        <v>40</v>
      </c>
      <c r="B73" s="3"/>
      <c r="C73" s="3"/>
      <c r="D73" s="3"/>
      <c r="F73" s="3" t="s">
        <v>40</v>
      </c>
      <c r="G73" s="3"/>
      <c r="H73" s="3"/>
      <c r="I73" s="3"/>
      <c r="K73" s="3" t="s">
        <v>40</v>
      </c>
      <c r="L73" s="3"/>
      <c r="M73" s="3"/>
      <c r="N73" s="3"/>
      <c r="P73" s="3" t="s">
        <v>40</v>
      </c>
      <c r="Q73" s="3"/>
      <c r="R73" s="3"/>
      <c r="S73" s="3"/>
      <c r="U73" s="3" t="s">
        <v>40</v>
      </c>
      <c r="V73" s="3"/>
      <c r="W73" s="3"/>
      <c r="X73" s="3"/>
      <c r="Z73" s="3" t="s">
        <v>41</v>
      </c>
      <c r="AA73" s="3"/>
      <c r="AB73" s="3"/>
      <c r="AC73" s="3"/>
    </row>
    <row r="74" spans="1:29" x14ac:dyDescent="0.25">
      <c r="A74" t="s">
        <v>24</v>
      </c>
      <c r="B74" t="s">
        <v>25</v>
      </c>
      <c r="C74" t="s">
        <v>26</v>
      </c>
      <c r="D74" t="s">
        <v>27</v>
      </c>
      <c r="F74" t="s">
        <v>24</v>
      </c>
      <c r="G74" t="s">
        <v>25</v>
      </c>
      <c r="H74" t="s">
        <v>26</v>
      </c>
      <c r="I74" t="s">
        <v>27</v>
      </c>
      <c r="K74" t="s">
        <v>24</v>
      </c>
      <c r="L74" t="s">
        <v>25</v>
      </c>
      <c r="M74" t="s">
        <v>26</v>
      </c>
      <c r="N74" t="s">
        <v>27</v>
      </c>
      <c r="P74" t="s">
        <v>24</v>
      </c>
      <c r="Q74" t="s">
        <v>25</v>
      </c>
      <c r="R74" t="s">
        <v>26</v>
      </c>
      <c r="S74" t="s">
        <v>27</v>
      </c>
      <c r="U74" t="s">
        <v>24</v>
      </c>
      <c r="V74" t="s">
        <v>25</v>
      </c>
      <c r="W74" t="s">
        <v>26</v>
      </c>
      <c r="X74" t="s">
        <v>27</v>
      </c>
      <c r="Z74" t="s">
        <v>24</v>
      </c>
      <c r="AA74" t="s">
        <v>25</v>
      </c>
      <c r="AB74" t="s">
        <v>26</v>
      </c>
      <c r="AC74" t="s">
        <v>27</v>
      </c>
    </row>
    <row r="75" spans="1:29" x14ac:dyDescent="0.25">
      <c r="A75" s="2">
        <v>500000</v>
      </c>
      <c r="B75" s="2">
        <v>63</v>
      </c>
      <c r="C75" s="2">
        <v>14292001814</v>
      </c>
      <c r="D75" s="2">
        <v>802</v>
      </c>
      <c r="E75" s="2"/>
      <c r="F75" s="2">
        <v>500000</v>
      </c>
      <c r="G75" s="2">
        <v>113</v>
      </c>
      <c r="H75" s="2">
        <v>32772005854</v>
      </c>
      <c r="I75" s="2">
        <v>2099</v>
      </c>
      <c r="J75" s="2"/>
      <c r="K75" s="2">
        <v>500000</v>
      </c>
      <c r="L75" s="2">
        <v>63</v>
      </c>
      <c r="M75" s="2">
        <v>51252009894</v>
      </c>
      <c r="N75" s="2">
        <v>3413</v>
      </c>
      <c r="O75" s="2"/>
      <c r="P75" s="2">
        <v>500000</v>
      </c>
      <c r="Q75" s="2">
        <v>63</v>
      </c>
      <c r="R75" s="2">
        <v>69732013934</v>
      </c>
      <c r="S75" s="2">
        <v>4728</v>
      </c>
      <c r="T75" s="2"/>
      <c r="U75" s="2">
        <v>500000</v>
      </c>
      <c r="V75" s="2">
        <v>63</v>
      </c>
      <c r="W75" s="2">
        <v>88212017974</v>
      </c>
      <c r="X75" s="2">
        <v>6119</v>
      </c>
      <c r="Y75" s="2"/>
      <c r="Z75" s="2">
        <v>500000</v>
      </c>
      <c r="AA75" s="2">
        <f t="shared" ref="AA75:AA94" si="9">AVERAGE(B75,G75,L75,Q75,V75)</f>
        <v>73</v>
      </c>
      <c r="AB75" s="2">
        <f t="shared" ref="AB75:AB94" si="10">AVERAGE(C75,H75,M75,R75,W75)</f>
        <v>51252009894</v>
      </c>
      <c r="AC75" s="2">
        <f t="shared" ref="AC75:AC94" si="11">AVERAGE(D75,I75,N75,S75,X75)</f>
        <v>3432.2</v>
      </c>
    </row>
    <row r="76" spans="1:29" x14ac:dyDescent="0.25">
      <c r="A76" s="2">
        <v>1000000</v>
      </c>
      <c r="B76" s="2">
        <v>125</v>
      </c>
      <c r="C76" s="2">
        <v>14316001868</v>
      </c>
      <c r="D76" s="2">
        <v>812</v>
      </c>
      <c r="E76" s="2"/>
      <c r="F76" s="2">
        <v>1000000</v>
      </c>
      <c r="G76" s="2">
        <v>221</v>
      </c>
      <c r="H76" s="2">
        <v>32796005908</v>
      </c>
      <c r="I76" s="2">
        <v>2121</v>
      </c>
      <c r="J76" s="2"/>
      <c r="K76" s="2">
        <v>1000000</v>
      </c>
      <c r="L76" s="2">
        <v>126</v>
      </c>
      <c r="M76" s="2">
        <v>51276009948</v>
      </c>
      <c r="N76" s="2">
        <v>3427</v>
      </c>
      <c r="O76" s="2"/>
      <c r="P76" s="2">
        <v>1000000</v>
      </c>
      <c r="Q76" s="2">
        <v>123</v>
      </c>
      <c r="R76" s="2">
        <v>69756013988</v>
      </c>
      <c r="S76" s="2">
        <v>4741</v>
      </c>
      <c r="T76" s="2"/>
      <c r="U76" s="2">
        <v>1000000</v>
      </c>
      <c r="V76" s="2">
        <v>127</v>
      </c>
      <c r="W76" s="2">
        <v>88236018028</v>
      </c>
      <c r="X76" s="2">
        <v>6134</v>
      </c>
      <c r="Y76" s="2"/>
      <c r="Z76" s="2">
        <v>1000000</v>
      </c>
      <c r="AA76" s="2">
        <f t="shared" si="9"/>
        <v>144.4</v>
      </c>
      <c r="AB76" s="2">
        <f t="shared" si="10"/>
        <v>51276009948</v>
      </c>
      <c r="AC76" s="2">
        <f t="shared" si="11"/>
        <v>3447</v>
      </c>
    </row>
    <row r="77" spans="1:29" x14ac:dyDescent="0.25">
      <c r="A77" s="2">
        <v>1500000</v>
      </c>
      <c r="B77" s="2">
        <v>185</v>
      </c>
      <c r="C77" s="2">
        <v>14352001922</v>
      </c>
      <c r="D77" s="2">
        <v>826</v>
      </c>
      <c r="E77" s="2"/>
      <c r="F77" s="2">
        <v>1500000</v>
      </c>
      <c r="G77" s="2">
        <v>327</v>
      </c>
      <c r="H77" s="2">
        <v>32832005962</v>
      </c>
      <c r="I77" s="2">
        <v>2129</v>
      </c>
      <c r="J77" s="2"/>
      <c r="K77" s="2">
        <v>1500000</v>
      </c>
      <c r="L77" s="2">
        <v>187</v>
      </c>
      <c r="M77" s="2">
        <v>51312010002</v>
      </c>
      <c r="N77" s="2">
        <v>3436</v>
      </c>
      <c r="O77" s="2"/>
      <c r="P77" s="2">
        <v>1500000</v>
      </c>
      <c r="Q77" s="2">
        <v>188</v>
      </c>
      <c r="R77" s="2">
        <v>69792014042</v>
      </c>
      <c r="S77" s="2">
        <v>4753</v>
      </c>
      <c r="T77" s="2"/>
      <c r="U77" s="2">
        <v>1500000</v>
      </c>
      <c r="V77" s="2">
        <v>188</v>
      </c>
      <c r="W77" s="2">
        <v>88272018082</v>
      </c>
      <c r="X77" s="2">
        <v>6141</v>
      </c>
      <c r="Y77" s="2"/>
      <c r="Z77" s="2">
        <v>1500000</v>
      </c>
      <c r="AA77" s="2">
        <f t="shared" si="9"/>
        <v>215</v>
      </c>
      <c r="AB77" s="2">
        <f t="shared" si="10"/>
        <v>51312010002</v>
      </c>
      <c r="AC77" s="2">
        <f t="shared" si="11"/>
        <v>3457</v>
      </c>
    </row>
    <row r="78" spans="1:29" x14ac:dyDescent="0.25">
      <c r="A78" s="2">
        <v>2000000</v>
      </c>
      <c r="B78" s="2">
        <v>252</v>
      </c>
      <c r="C78" s="2">
        <v>14400001976</v>
      </c>
      <c r="D78" s="2">
        <v>839</v>
      </c>
      <c r="E78" s="2"/>
      <c r="F78" s="2">
        <v>2000000</v>
      </c>
      <c r="G78" s="2">
        <v>441</v>
      </c>
      <c r="H78" s="2">
        <v>32880006016</v>
      </c>
      <c r="I78" s="2">
        <v>2142</v>
      </c>
      <c r="J78" s="2"/>
      <c r="K78" s="2">
        <v>2000000</v>
      </c>
      <c r="L78" s="2">
        <v>255</v>
      </c>
      <c r="M78" s="2">
        <v>51360010056</v>
      </c>
      <c r="N78" s="2">
        <v>3455</v>
      </c>
      <c r="O78" s="2"/>
      <c r="P78" s="2">
        <v>2000000</v>
      </c>
      <c r="Q78" s="2">
        <v>251</v>
      </c>
      <c r="R78" s="2">
        <v>69840014096</v>
      </c>
      <c r="S78" s="2">
        <v>4768</v>
      </c>
      <c r="T78" s="2"/>
      <c r="U78" s="2">
        <v>2000000</v>
      </c>
      <c r="V78" s="2">
        <v>244</v>
      </c>
      <c r="W78" s="2">
        <v>88320018136</v>
      </c>
      <c r="X78" s="2">
        <v>6155</v>
      </c>
      <c r="Y78" s="2"/>
      <c r="Z78" s="2">
        <v>2000000</v>
      </c>
      <c r="AA78" s="2">
        <f t="shared" si="9"/>
        <v>288.60000000000002</v>
      </c>
      <c r="AB78" s="2">
        <f t="shared" si="10"/>
        <v>51360010056</v>
      </c>
      <c r="AC78" s="2">
        <f t="shared" si="11"/>
        <v>3471.8</v>
      </c>
    </row>
    <row r="79" spans="1:29" x14ac:dyDescent="0.25">
      <c r="A79" s="2">
        <v>2500000</v>
      </c>
      <c r="B79" s="2">
        <v>313</v>
      </c>
      <c r="C79" s="2">
        <v>14460002030</v>
      </c>
      <c r="D79" s="2">
        <v>845</v>
      </c>
      <c r="E79" s="2"/>
      <c r="F79" s="2">
        <v>2500000</v>
      </c>
      <c r="G79" s="2">
        <v>558</v>
      </c>
      <c r="H79" s="2">
        <v>32940006070</v>
      </c>
      <c r="I79" s="2">
        <v>2153</v>
      </c>
      <c r="J79" s="2"/>
      <c r="K79" s="2">
        <v>2500000</v>
      </c>
      <c r="L79" s="2">
        <v>313</v>
      </c>
      <c r="M79" s="2">
        <v>51420010110</v>
      </c>
      <c r="N79" s="2">
        <v>3470</v>
      </c>
      <c r="O79" s="2"/>
      <c r="P79" s="2">
        <v>2500000</v>
      </c>
      <c r="Q79" s="2">
        <v>312</v>
      </c>
      <c r="R79" s="2">
        <v>69900014150</v>
      </c>
      <c r="S79" s="2">
        <v>4780</v>
      </c>
      <c r="T79" s="2"/>
      <c r="U79" s="2">
        <v>2500000</v>
      </c>
      <c r="V79" s="2">
        <v>312</v>
      </c>
      <c r="W79" s="2">
        <v>88380018190</v>
      </c>
      <c r="X79" s="2">
        <v>6179</v>
      </c>
      <c r="Y79" s="2"/>
      <c r="Z79" s="2">
        <v>2500000</v>
      </c>
      <c r="AA79" s="2">
        <f t="shared" si="9"/>
        <v>361.6</v>
      </c>
      <c r="AB79" s="2">
        <f t="shared" si="10"/>
        <v>51420010110</v>
      </c>
      <c r="AC79" s="2">
        <f t="shared" si="11"/>
        <v>3485.4</v>
      </c>
    </row>
    <row r="80" spans="1:29" x14ac:dyDescent="0.25">
      <c r="A80" s="2">
        <v>3000000</v>
      </c>
      <c r="B80" s="2">
        <v>378</v>
      </c>
      <c r="C80" s="2">
        <v>14532002084</v>
      </c>
      <c r="D80" s="2">
        <v>864</v>
      </c>
      <c r="E80" s="2"/>
      <c r="F80" s="2">
        <v>3000000</v>
      </c>
      <c r="G80" s="2">
        <v>673</v>
      </c>
      <c r="H80" s="2">
        <v>33012006124</v>
      </c>
      <c r="I80" s="2">
        <v>2169</v>
      </c>
      <c r="J80" s="2"/>
      <c r="K80" s="2">
        <v>3000000</v>
      </c>
      <c r="L80" s="2">
        <v>367</v>
      </c>
      <c r="M80" s="2">
        <v>51492010164</v>
      </c>
      <c r="N80" s="2">
        <v>3488</v>
      </c>
      <c r="O80" s="2"/>
      <c r="P80" s="2">
        <v>3000000</v>
      </c>
      <c r="Q80" s="2">
        <v>375</v>
      </c>
      <c r="R80" s="2">
        <v>69972014204</v>
      </c>
      <c r="S80" s="2">
        <v>4793</v>
      </c>
      <c r="T80" s="2"/>
      <c r="U80" s="2">
        <v>3000000</v>
      </c>
      <c r="V80" s="2">
        <v>379</v>
      </c>
      <c r="W80" s="2">
        <v>88452018244</v>
      </c>
      <c r="X80" s="2">
        <v>6194</v>
      </c>
      <c r="Y80" s="2"/>
      <c r="Z80" s="2">
        <v>3000000</v>
      </c>
      <c r="AA80" s="2">
        <f t="shared" si="9"/>
        <v>434.4</v>
      </c>
      <c r="AB80" s="2">
        <f t="shared" si="10"/>
        <v>51492010164</v>
      </c>
      <c r="AC80" s="2">
        <f t="shared" si="11"/>
        <v>3501.6</v>
      </c>
    </row>
    <row r="81" spans="1:29" x14ac:dyDescent="0.25">
      <c r="A81" s="2">
        <v>3500000</v>
      </c>
      <c r="B81" s="2">
        <v>435</v>
      </c>
      <c r="C81" s="2">
        <v>14616002138</v>
      </c>
      <c r="D81" s="2">
        <v>883</v>
      </c>
      <c r="E81" s="2"/>
      <c r="F81" s="2">
        <v>3500000</v>
      </c>
      <c r="G81" s="2">
        <v>793</v>
      </c>
      <c r="H81" s="2">
        <v>33096006178</v>
      </c>
      <c r="I81" s="2">
        <v>2180</v>
      </c>
      <c r="J81" s="2"/>
      <c r="K81" s="2">
        <v>3500000</v>
      </c>
      <c r="L81" s="2">
        <v>440</v>
      </c>
      <c r="M81" s="2">
        <v>51576010218</v>
      </c>
      <c r="N81" s="2">
        <v>3504</v>
      </c>
      <c r="O81" s="2"/>
      <c r="P81" s="2">
        <v>3500000</v>
      </c>
      <c r="Q81" s="2">
        <v>430</v>
      </c>
      <c r="R81" s="2">
        <v>70056014258</v>
      </c>
      <c r="S81" s="2">
        <v>4806</v>
      </c>
      <c r="T81" s="2"/>
      <c r="U81" s="2">
        <v>3500000</v>
      </c>
      <c r="V81" s="2">
        <v>436</v>
      </c>
      <c r="W81" s="2">
        <v>88536018298</v>
      </c>
      <c r="X81" s="2">
        <v>6212</v>
      </c>
      <c r="Y81" s="2"/>
      <c r="Z81" s="2">
        <v>3500000</v>
      </c>
      <c r="AA81" s="2">
        <f t="shared" si="9"/>
        <v>506.8</v>
      </c>
      <c r="AB81" s="2">
        <f t="shared" si="10"/>
        <v>51576010218</v>
      </c>
      <c r="AC81" s="2">
        <f t="shared" si="11"/>
        <v>3517</v>
      </c>
    </row>
    <row r="82" spans="1:29" x14ac:dyDescent="0.25">
      <c r="A82" s="2">
        <v>4000000</v>
      </c>
      <c r="B82" s="2">
        <v>504</v>
      </c>
      <c r="C82" s="2">
        <v>14712002192</v>
      </c>
      <c r="D82" s="2">
        <v>904</v>
      </c>
      <c r="E82" s="2"/>
      <c r="F82" s="2">
        <v>4000000</v>
      </c>
      <c r="G82" s="2">
        <v>900</v>
      </c>
      <c r="H82" s="2">
        <v>33192006232</v>
      </c>
      <c r="I82" s="2">
        <v>2208</v>
      </c>
      <c r="J82" s="2"/>
      <c r="K82" s="2">
        <v>4000000</v>
      </c>
      <c r="L82" s="2">
        <v>505</v>
      </c>
      <c r="M82" s="2">
        <v>51672010272</v>
      </c>
      <c r="N82" s="2">
        <v>3516</v>
      </c>
      <c r="O82" s="2"/>
      <c r="P82" s="2">
        <v>4000000</v>
      </c>
      <c r="Q82" s="2">
        <v>503</v>
      </c>
      <c r="R82" s="2">
        <v>70152014312</v>
      </c>
      <c r="S82" s="2">
        <v>4820</v>
      </c>
      <c r="T82" s="2"/>
      <c r="U82" s="2">
        <v>4000000</v>
      </c>
      <c r="V82" s="2">
        <v>498</v>
      </c>
      <c r="W82" s="2">
        <v>88632018352</v>
      </c>
      <c r="X82" s="2">
        <v>6224</v>
      </c>
      <c r="Y82" s="2"/>
      <c r="Z82" s="2">
        <v>4000000</v>
      </c>
      <c r="AA82" s="2">
        <f t="shared" si="9"/>
        <v>582</v>
      </c>
      <c r="AB82" s="2">
        <f t="shared" si="10"/>
        <v>51672010272</v>
      </c>
      <c r="AC82" s="2">
        <f t="shared" si="11"/>
        <v>3534.4</v>
      </c>
    </row>
    <row r="83" spans="1:29" x14ac:dyDescent="0.25">
      <c r="A83" s="2">
        <v>4500000</v>
      </c>
      <c r="B83" s="2">
        <v>560</v>
      </c>
      <c r="C83" s="2">
        <v>14820002246</v>
      </c>
      <c r="D83" s="2">
        <v>918</v>
      </c>
      <c r="E83" s="2"/>
      <c r="F83" s="2">
        <v>4500000</v>
      </c>
      <c r="G83" s="2">
        <v>1012</v>
      </c>
      <c r="H83" s="2">
        <v>33300006286</v>
      </c>
      <c r="I83" s="2">
        <v>2226</v>
      </c>
      <c r="J83" s="2"/>
      <c r="K83" s="2">
        <v>4500000</v>
      </c>
      <c r="L83" s="2">
        <v>560</v>
      </c>
      <c r="M83" s="2">
        <v>51780010326</v>
      </c>
      <c r="N83" s="2">
        <v>3534</v>
      </c>
      <c r="O83" s="2"/>
      <c r="P83" s="2">
        <v>4500000</v>
      </c>
      <c r="Q83" s="2">
        <v>562</v>
      </c>
      <c r="R83" s="2">
        <v>70260014366</v>
      </c>
      <c r="S83" s="2">
        <v>4829</v>
      </c>
      <c r="T83" s="2"/>
      <c r="U83" s="2">
        <v>4500000</v>
      </c>
      <c r="V83" s="2">
        <v>562</v>
      </c>
      <c r="W83" s="2">
        <v>88740018406</v>
      </c>
      <c r="X83" s="2">
        <v>6241</v>
      </c>
      <c r="Y83" s="2"/>
      <c r="Z83" s="2">
        <v>4500000</v>
      </c>
      <c r="AA83" s="2">
        <f t="shared" si="9"/>
        <v>651.20000000000005</v>
      </c>
      <c r="AB83" s="2">
        <f t="shared" si="10"/>
        <v>51780010326</v>
      </c>
      <c r="AC83" s="2">
        <f t="shared" si="11"/>
        <v>3549.6</v>
      </c>
    </row>
    <row r="84" spans="1:29" x14ac:dyDescent="0.25">
      <c r="A84" s="2">
        <v>5000000</v>
      </c>
      <c r="B84" s="2">
        <v>630</v>
      </c>
      <c r="C84" s="2">
        <v>14940002300</v>
      </c>
      <c r="D84" s="2">
        <v>932</v>
      </c>
      <c r="E84" s="2"/>
      <c r="F84" s="2">
        <v>5000000</v>
      </c>
      <c r="G84" s="2">
        <v>1138</v>
      </c>
      <c r="H84" s="2">
        <v>33420006340</v>
      </c>
      <c r="I84" s="2">
        <v>2237</v>
      </c>
      <c r="J84" s="2"/>
      <c r="K84" s="2">
        <v>5000000</v>
      </c>
      <c r="L84" s="2">
        <v>627</v>
      </c>
      <c r="M84" s="2">
        <v>51900010380</v>
      </c>
      <c r="N84" s="2">
        <v>3548</v>
      </c>
      <c r="O84" s="2"/>
      <c r="P84" s="2">
        <v>5000000</v>
      </c>
      <c r="Q84" s="2">
        <v>621</v>
      </c>
      <c r="R84" s="2">
        <v>70380014420</v>
      </c>
      <c r="S84" s="2">
        <v>4844</v>
      </c>
      <c r="T84" s="2"/>
      <c r="U84" s="2">
        <v>5000000</v>
      </c>
      <c r="V84" s="2">
        <v>610</v>
      </c>
      <c r="W84" s="2">
        <v>88860018460</v>
      </c>
      <c r="X84" s="2">
        <v>6250</v>
      </c>
      <c r="Y84" s="2"/>
      <c r="Z84" s="2">
        <v>5000000</v>
      </c>
      <c r="AA84" s="2">
        <f t="shared" si="9"/>
        <v>725.2</v>
      </c>
      <c r="AB84" s="2">
        <f t="shared" si="10"/>
        <v>51900010380</v>
      </c>
      <c r="AC84" s="2">
        <f t="shared" si="11"/>
        <v>3562.2</v>
      </c>
    </row>
    <row r="85" spans="1:29" x14ac:dyDescent="0.25">
      <c r="A85" s="2">
        <v>5500000</v>
      </c>
      <c r="B85" s="2">
        <v>691</v>
      </c>
      <c r="C85" s="2">
        <v>15072002354</v>
      </c>
      <c r="D85" s="2">
        <v>947</v>
      </c>
      <c r="E85" s="2"/>
      <c r="F85" s="2">
        <v>5500000</v>
      </c>
      <c r="G85" s="2">
        <v>1233</v>
      </c>
      <c r="H85" s="2">
        <v>33552006394</v>
      </c>
      <c r="I85" s="2">
        <v>2255</v>
      </c>
      <c r="J85" s="2"/>
      <c r="K85" s="2">
        <v>5500000</v>
      </c>
      <c r="L85" s="2">
        <v>690</v>
      </c>
      <c r="M85" s="2">
        <v>52032010434</v>
      </c>
      <c r="N85" s="2">
        <v>3561</v>
      </c>
      <c r="O85" s="2"/>
      <c r="P85" s="2">
        <v>5500000</v>
      </c>
      <c r="Q85" s="2">
        <v>691</v>
      </c>
      <c r="R85" s="2">
        <v>70512014474</v>
      </c>
      <c r="S85" s="2">
        <v>4856</v>
      </c>
      <c r="T85" s="2"/>
      <c r="U85" s="2">
        <v>5500000</v>
      </c>
      <c r="V85" s="2">
        <v>689</v>
      </c>
      <c r="W85" s="2">
        <v>88992018514</v>
      </c>
      <c r="X85" s="2">
        <v>6260</v>
      </c>
      <c r="Y85" s="2"/>
      <c r="Z85" s="2">
        <v>5500000</v>
      </c>
      <c r="AA85" s="2">
        <f t="shared" si="9"/>
        <v>798.8</v>
      </c>
      <c r="AB85" s="2">
        <f t="shared" si="10"/>
        <v>52032010434</v>
      </c>
      <c r="AC85" s="2">
        <f t="shared" si="11"/>
        <v>3575.8</v>
      </c>
    </row>
    <row r="86" spans="1:29" x14ac:dyDescent="0.25">
      <c r="A86" s="2">
        <v>6000000</v>
      </c>
      <c r="B86" s="2">
        <v>743</v>
      </c>
      <c r="C86" s="2">
        <v>15216002408</v>
      </c>
      <c r="D86" s="2">
        <v>970</v>
      </c>
      <c r="E86" s="2"/>
      <c r="F86" s="2">
        <v>6000000</v>
      </c>
      <c r="G86" s="2">
        <v>1349</v>
      </c>
      <c r="H86" s="2">
        <v>33696006448</v>
      </c>
      <c r="I86" s="2">
        <v>2266</v>
      </c>
      <c r="J86" s="2"/>
      <c r="K86" s="2">
        <v>6000000</v>
      </c>
      <c r="L86" s="2">
        <v>750</v>
      </c>
      <c r="M86" s="2">
        <v>52176010488</v>
      </c>
      <c r="N86" s="2">
        <v>3571</v>
      </c>
      <c r="O86" s="2"/>
      <c r="P86" s="2">
        <v>6000000</v>
      </c>
      <c r="Q86" s="2">
        <v>741</v>
      </c>
      <c r="R86" s="2">
        <v>70656014528</v>
      </c>
      <c r="S86" s="2">
        <v>4873</v>
      </c>
      <c r="T86" s="2"/>
      <c r="U86" s="2">
        <v>6000000</v>
      </c>
      <c r="V86" s="2">
        <v>751</v>
      </c>
      <c r="W86" s="2">
        <v>89136018568</v>
      </c>
      <c r="X86" s="2">
        <v>6272</v>
      </c>
      <c r="Y86" s="2"/>
      <c r="Z86" s="2">
        <v>6000000</v>
      </c>
      <c r="AA86" s="2">
        <f t="shared" si="9"/>
        <v>866.8</v>
      </c>
      <c r="AB86" s="2">
        <f t="shared" si="10"/>
        <v>52176010488</v>
      </c>
      <c r="AC86" s="2">
        <f t="shared" si="11"/>
        <v>3590.4</v>
      </c>
    </row>
    <row r="87" spans="1:29" x14ac:dyDescent="0.25">
      <c r="A87" s="2">
        <v>6500000</v>
      </c>
      <c r="B87" s="2">
        <v>796</v>
      </c>
      <c r="C87" s="2">
        <v>15372002462</v>
      </c>
      <c r="D87" s="2">
        <v>982</v>
      </c>
      <c r="E87" s="2"/>
      <c r="F87" s="2">
        <v>6500000</v>
      </c>
      <c r="G87" s="2">
        <v>1462</v>
      </c>
      <c r="H87" s="2">
        <v>33852006502</v>
      </c>
      <c r="I87" s="2">
        <v>2281</v>
      </c>
      <c r="J87" s="2"/>
      <c r="K87" s="2">
        <v>6500000</v>
      </c>
      <c r="L87" s="2">
        <v>812</v>
      </c>
      <c r="M87" s="2">
        <v>52332010542</v>
      </c>
      <c r="N87" s="2">
        <v>3588</v>
      </c>
      <c r="O87" s="2"/>
      <c r="P87" s="2">
        <v>6500000</v>
      </c>
      <c r="Q87" s="2">
        <v>799</v>
      </c>
      <c r="R87" s="2">
        <v>70812014582</v>
      </c>
      <c r="S87" s="2">
        <v>4889</v>
      </c>
      <c r="T87" s="2"/>
      <c r="U87" s="2">
        <v>6500000</v>
      </c>
      <c r="V87" s="2">
        <v>801</v>
      </c>
      <c r="W87" s="2">
        <v>89292018622</v>
      </c>
      <c r="X87" s="2">
        <v>6281</v>
      </c>
      <c r="Y87" s="2"/>
      <c r="Z87" s="2">
        <v>6500000</v>
      </c>
      <c r="AA87" s="2">
        <f t="shared" si="9"/>
        <v>934</v>
      </c>
      <c r="AB87" s="2">
        <f t="shared" si="10"/>
        <v>52332010542</v>
      </c>
      <c r="AC87" s="2">
        <f t="shared" si="11"/>
        <v>3604.2</v>
      </c>
    </row>
    <row r="88" spans="1:29" x14ac:dyDescent="0.25">
      <c r="A88" s="2">
        <v>7000000</v>
      </c>
      <c r="B88" s="2">
        <v>875</v>
      </c>
      <c r="C88" s="2">
        <v>15540002516</v>
      </c>
      <c r="D88" s="2">
        <v>995</v>
      </c>
      <c r="E88" s="2"/>
      <c r="F88" s="2">
        <v>7000000</v>
      </c>
      <c r="G88" s="2">
        <v>1569</v>
      </c>
      <c r="H88" s="2">
        <v>34020006556</v>
      </c>
      <c r="I88" s="2">
        <v>2297</v>
      </c>
      <c r="J88" s="2"/>
      <c r="K88" s="2">
        <v>7000000</v>
      </c>
      <c r="L88" s="2">
        <v>875</v>
      </c>
      <c r="M88" s="2">
        <v>52500010596</v>
      </c>
      <c r="N88" s="2">
        <v>3602</v>
      </c>
      <c r="O88" s="2"/>
      <c r="P88" s="2">
        <v>7000000</v>
      </c>
      <c r="Q88" s="2">
        <v>880</v>
      </c>
      <c r="R88" s="2">
        <v>70980014636</v>
      </c>
      <c r="S88" s="2">
        <v>4905</v>
      </c>
      <c r="T88" s="2"/>
      <c r="U88" s="2">
        <v>7000000</v>
      </c>
      <c r="V88" s="2">
        <v>862</v>
      </c>
      <c r="W88" s="2">
        <v>89460018676</v>
      </c>
      <c r="X88" s="2">
        <v>6296</v>
      </c>
      <c r="Y88" s="2"/>
      <c r="Z88" s="2">
        <v>7000000</v>
      </c>
      <c r="AA88" s="2">
        <f t="shared" si="9"/>
        <v>1012.2</v>
      </c>
      <c r="AB88" s="2">
        <f t="shared" si="10"/>
        <v>52500010596</v>
      </c>
      <c r="AC88" s="2">
        <f t="shared" si="11"/>
        <v>3619</v>
      </c>
    </row>
    <row r="89" spans="1:29" x14ac:dyDescent="0.25">
      <c r="A89" s="2">
        <v>7500000</v>
      </c>
      <c r="B89" s="2">
        <v>942</v>
      </c>
      <c r="C89" s="2">
        <v>15720002570</v>
      </c>
      <c r="D89" s="2">
        <v>1008</v>
      </c>
      <c r="E89" s="2"/>
      <c r="F89" s="2">
        <v>7500000</v>
      </c>
      <c r="G89" s="2">
        <v>1678</v>
      </c>
      <c r="H89" s="2">
        <v>34200006610</v>
      </c>
      <c r="I89" s="2">
        <v>2310</v>
      </c>
      <c r="J89" s="2"/>
      <c r="K89" s="2">
        <v>7500000</v>
      </c>
      <c r="L89" s="2">
        <v>934</v>
      </c>
      <c r="M89" s="2">
        <v>52680010650</v>
      </c>
      <c r="N89" s="2">
        <v>3621</v>
      </c>
      <c r="O89" s="2"/>
      <c r="P89" s="2">
        <v>7500000</v>
      </c>
      <c r="Q89" s="2">
        <v>938</v>
      </c>
      <c r="R89" s="2">
        <v>71160014690</v>
      </c>
      <c r="S89" s="2">
        <v>4919</v>
      </c>
      <c r="T89" s="2"/>
      <c r="U89" s="2">
        <v>7500000</v>
      </c>
      <c r="V89" s="2">
        <v>942</v>
      </c>
      <c r="W89" s="2">
        <v>89640018730</v>
      </c>
      <c r="X89" s="2">
        <v>6308</v>
      </c>
      <c r="Y89" s="2"/>
      <c r="Z89" s="2">
        <v>7500000</v>
      </c>
      <c r="AA89" s="2">
        <f t="shared" si="9"/>
        <v>1086.8</v>
      </c>
      <c r="AB89" s="2">
        <f t="shared" si="10"/>
        <v>52680010650</v>
      </c>
      <c r="AC89" s="2">
        <f t="shared" si="11"/>
        <v>3633.2</v>
      </c>
    </row>
    <row r="90" spans="1:29" x14ac:dyDescent="0.25">
      <c r="A90" s="2">
        <v>8000000</v>
      </c>
      <c r="B90" s="2">
        <v>1005</v>
      </c>
      <c r="C90" s="2">
        <v>15912002624</v>
      </c>
      <c r="D90" s="2">
        <v>1024</v>
      </c>
      <c r="E90" s="2"/>
      <c r="F90" s="2">
        <v>8000000</v>
      </c>
      <c r="G90" s="2">
        <v>1799</v>
      </c>
      <c r="H90" s="2">
        <v>34392006664</v>
      </c>
      <c r="I90" s="2">
        <v>2322</v>
      </c>
      <c r="J90" s="2"/>
      <c r="K90" s="2">
        <v>8000000</v>
      </c>
      <c r="L90" s="2">
        <v>1002</v>
      </c>
      <c r="M90" s="2">
        <v>52872010704</v>
      </c>
      <c r="N90" s="2">
        <v>3637</v>
      </c>
      <c r="O90" s="2"/>
      <c r="P90" s="2">
        <v>8000000</v>
      </c>
      <c r="Q90" s="2">
        <v>995</v>
      </c>
      <c r="R90" s="2">
        <v>71352014744</v>
      </c>
      <c r="S90" s="2">
        <v>4939</v>
      </c>
      <c r="T90" s="2"/>
      <c r="U90" s="2">
        <v>8000000</v>
      </c>
      <c r="V90" s="2">
        <v>1003</v>
      </c>
      <c r="W90" s="2">
        <v>89832018784</v>
      </c>
      <c r="X90" s="2">
        <v>6318</v>
      </c>
      <c r="Y90" s="2"/>
      <c r="Z90" s="2">
        <v>8000000</v>
      </c>
      <c r="AA90" s="2">
        <f t="shared" si="9"/>
        <v>1160.8</v>
      </c>
      <c r="AB90" s="2">
        <f t="shared" si="10"/>
        <v>52872010704</v>
      </c>
      <c r="AC90" s="2">
        <f t="shared" si="11"/>
        <v>3648</v>
      </c>
    </row>
    <row r="91" spans="1:29" x14ac:dyDescent="0.25">
      <c r="A91" s="2">
        <v>8500000</v>
      </c>
      <c r="B91" s="2">
        <v>1052</v>
      </c>
      <c r="C91" s="2">
        <v>16116002678</v>
      </c>
      <c r="D91" s="2">
        <v>1035</v>
      </c>
      <c r="E91" s="2"/>
      <c r="F91" s="2">
        <v>8500000</v>
      </c>
      <c r="G91" s="2">
        <v>1911</v>
      </c>
      <c r="H91" s="2">
        <v>34596006718</v>
      </c>
      <c r="I91" s="2">
        <v>2338</v>
      </c>
      <c r="J91" s="2"/>
      <c r="K91" s="2">
        <v>8500000</v>
      </c>
      <c r="L91" s="2">
        <v>1068</v>
      </c>
      <c r="M91" s="2">
        <v>53076010758</v>
      </c>
      <c r="N91" s="2">
        <v>3647</v>
      </c>
      <c r="O91" s="2"/>
      <c r="P91" s="2">
        <v>8500000</v>
      </c>
      <c r="Q91" s="2">
        <v>1069</v>
      </c>
      <c r="R91" s="2">
        <v>71556014798</v>
      </c>
      <c r="S91" s="2">
        <v>4952</v>
      </c>
      <c r="T91" s="2"/>
      <c r="U91" s="2">
        <v>8500000</v>
      </c>
      <c r="V91" s="2">
        <v>1065</v>
      </c>
      <c r="W91" s="2">
        <v>90036018838</v>
      </c>
      <c r="X91" s="2">
        <v>6330</v>
      </c>
      <c r="Y91" s="2"/>
      <c r="Z91" s="2">
        <v>8500000</v>
      </c>
      <c r="AA91" s="2">
        <f t="shared" si="9"/>
        <v>1233</v>
      </c>
      <c r="AB91" s="2">
        <f t="shared" si="10"/>
        <v>53076010758</v>
      </c>
      <c r="AC91" s="2">
        <f t="shared" si="11"/>
        <v>3660.4</v>
      </c>
    </row>
    <row r="92" spans="1:29" x14ac:dyDescent="0.25">
      <c r="A92" s="2">
        <v>9000000</v>
      </c>
      <c r="B92" s="2">
        <v>1119</v>
      </c>
      <c r="C92" s="2">
        <v>16332002732</v>
      </c>
      <c r="D92" s="2">
        <v>1052</v>
      </c>
      <c r="E92" s="2"/>
      <c r="F92" s="2">
        <v>9000000</v>
      </c>
      <c r="G92" s="2">
        <v>2015</v>
      </c>
      <c r="H92" s="2">
        <v>34812006772</v>
      </c>
      <c r="I92" s="2">
        <v>2353</v>
      </c>
      <c r="J92" s="2"/>
      <c r="K92" s="2">
        <v>9000000</v>
      </c>
      <c r="L92" s="2">
        <v>1121</v>
      </c>
      <c r="M92" s="2">
        <v>53292010812</v>
      </c>
      <c r="N92" s="2">
        <v>3665</v>
      </c>
      <c r="O92" s="2"/>
      <c r="P92" s="2">
        <v>9000000</v>
      </c>
      <c r="Q92" s="2">
        <v>1130</v>
      </c>
      <c r="R92" s="2">
        <v>71772014852</v>
      </c>
      <c r="S92" s="2">
        <v>4965</v>
      </c>
      <c r="T92" s="2"/>
      <c r="U92" s="2">
        <v>9000000</v>
      </c>
      <c r="V92" s="2">
        <v>1129</v>
      </c>
      <c r="W92" s="2">
        <v>90252018892</v>
      </c>
      <c r="X92" s="2">
        <v>6340</v>
      </c>
      <c r="Y92" s="2"/>
      <c r="Z92" s="2">
        <v>9000000</v>
      </c>
      <c r="AA92" s="2">
        <f t="shared" si="9"/>
        <v>1302.8</v>
      </c>
      <c r="AB92" s="2">
        <f t="shared" si="10"/>
        <v>53292010812</v>
      </c>
      <c r="AC92" s="2">
        <f t="shared" si="11"/>
        <v>3675</v>
      </c>
    </row>
    <row r="93" spans="1:29" x14ac:dyDescent="0.25">
      <c r="A93" s="2">
        <v>9500000</v>
      </c>
      <c r="B93" s="2">
        <v>1171</v>
      </c>
      <c r="C93" s="2">
        <v>16560002786</v>
      </c>
      <c r="D93" s="2">
        <v>1070</v>
      </c>
      <c r="E93" s="2"/>
      <c r="F93" s="2">
        <v>9500000</v>
      </c>
      <c r="G93" s="2">
        <v>2126</v>
      </c>
      <c r="H93" s="2">
        <v>35040006826</v>
      </c>
      <c r="I93" s="2">
        <v>2369</v>
      </c>
      <c r="J93" s="2"/>
      <c r="K93" s="2">
        <v>9500000</v>
      </c>
      <c r="L93" s="2">
        <v>1193</v>
      </c>
      <c r="M93" s="2">
        <v>53520010866</v>
      </c>
      <c r="N93" s="2">
        <v>3678</v>
      </c>
      <c r="O93" s="2"/>
      <c r="P93" s="2">
        <v>9500000</v>
      </c>
      <c r="Q93" s="2">
        <v>1193</v>
      </c>
      <c r="R93" s="2">
        <v>72000014906</v>
      </c>
      <c r="S93" s="2">
        <v>4981</v>
      </c>
      <c r="T93" s="2"/>
      <c r="U93" s="2">
        <v>9500000</v>
      </c>
      <c r="V93" s="2">
        <v>1183</v>
      </c>
      <c r="W93" s="2">
        <v>90480018946</v>
      </c>
      <c r="X93" s="2">
        <v>6354</v>
      </c>
      <c r="Y93" s="2"/>
      <c r="Z93" s="2">
        <v>9500000</v>
      </c>
      <c r="AA93" s="2">
        <f t="shared" si="9"/>
        <v>1373.2</v>
      </c>
      <c r="AB93" s="2">
        <f t="shared" si="10"/>
        <v>53520010866</v>
      </c>
      <c r="AC93" s="2">
        <f t="shared" si="11"/>
        <v>3690.4</v>
      </c>
    </row>
    <row r="94" spans="1:29" x14ac:dyDescent="0.25">
      <c r="A94" s="2">
        <v>10000000</v>
      </c>
      <c r="B94" s="2">
        <v>1255</v>
      </c>
      <c r="C94" s="2">
        <v>16800002840</v>
      </c>
      <c r="D94" s="2">
        <v>1086</v>
      </c>
      <c r="E94" s="2"/>
      <c r="F94" s="2">
        <v>10000000</v>
      </c>
      <c r="G94" s="2">
        <v>2221</v>
      </c>
      <c r="H94" s="2">
        <v>35280006880</v>
      </c>
      <c r="I94" s="2">
        <v>2378</v>
      </c>
      <c r="J94" s="2"/>
      <c r="K94" s="2">
        <v>10000000</v>
      </c>
      <c r="L94" s="2">
        <v>1250</v>
      </c>
      <c r="M94" s="2">
        <v>53760010920</v>
      </c>
      <c r="N94" s="2">
        <v>3695</v>
      </c>
      <c r="O94" s="2"/>
      <c r="P94" s="2">
        <v>10000000</v>
      </c>
      <c r="Q94" s="2">
        <v>1252</v>
      </c>
      <c r="R94" s="2">
        <v>72240014960</v>
      </c>
      <c r="S94" s="2">
        <v>4993</v>
      </c>
      <c r="T94" s="2"/>
      <c r="U94" s="2">
        <v>10000000</v>
      </c>
      <c r="V94" s="2">
        <v>1244</v>
      </c>
      <c r="W94" s="2">
        <v>90720019000</v>
      </c>
      <c r="X94" s="2">
        <v>6364</v>
      </c>
      <c r="Y94" s="2"/>
      <c r="Z94" s="2">
        <v>10000000</v>
      </c>
      <c r="AA94" s="2">
        <f t="shared" si="9"/>
        <v>1444.4</v>
      </c>
      <c r="AB94" s="2">
        <f t="shared" si="10"/>
        <v>53760010920</v>
      </c>
      <c r="AC94" s="2">
        <f t="shared" si="11"/>
        <v>3703.2</v>
      </c>
    </row>
    <row r="97" spans="1:29" x14ac:dyDescent="0.25">
      <c r="A97" s="3" t="s">
        <v>42</v>
      </c>
      <c r="B97" s="3"/>
      <c r="C97" s="3"/>
      <c r="D97" s="3"/>
      <c r="F97" s="3" t="s">
        <v>42</v>
      </c>
      <c r="G97" s="3"/>
      <c r="H97" s="3"/>
      <c r="I97" s="3"/>
      <c r="K97" s="3" t="s">
        <v>42</v>
      </c>
      <c r="L97" s="3"/>
      <c r="M97" s="3"/>
      <c r="N97" s="3"/>
      <c r="P97" s="3" t="s">
        <v>42</v>
      </c>
      <c r="Q97" s="3"/>
      <c r="R97" s="3"/>
      <c r="S97" s="3"/>
      <c r="U97" s="3" t="s">
        <v>42</v>
      </c>
      <c r="V97" s="3"/>
      <c r="W97" s="3"/>
      <c r="X97" s="3"/>
      <c r="Z97" s="3" t="s">
        <v>43</v>
      </c>
      <c r="AA97" s="3"/>
      <c r="AB97" s="3"/>
      <c r="AC97" s="3"/>
    </row>
    <row r="98" spans="1:29" x14ac:dyDescent="0.25">
      <c r="A98" t="s">
        <v>24</v>
      </c>
      <c r="B98" t="s">
        <v>25</v>
      </c>
      <c r="C98" t="s">
        <v>26</v>
      </c>
      <c r="D98" t="s">
        <v>27</v>
      </c>
      <c r="F98" t="s">
        <v>24</v>
      </c>
      <c r="G98" t="s">
        <v>25</v>
      </c>
      <c r="H98" t="s">
        <v>26</v>
      </c>
      <c r="I98" t="s">
        <v>27</v>
      </c>
      <c r="K98" t="s">
        <v>24</v>
      </c>
      <c r="L98" t="s">
        <v>25</v>
      </c>
      <c r="M98" t="s">
        <v>26</v>
      </c>
      <c r="N98" t="s">
        <v>27</v>
      </c>
      <c r="P98" t="s">
        <v>24</v>
      </c>
      <c r="Q98" t="s">
        <v>25</v>
      </c>
      <c r="R98" t="s">
        <v>26</v>
      </c>
      <c r="S98" t="s">
        <v>27</v>
      </c>
      <c r="U98" t="s">
        <v>24</v>
      </c>
      <c r="V98" t="s">
        <v>25</v>
      </c>
      <c r="W98" t="s">
        <v>26</v>
      </c>
      <c r="X98" t="s">
        <v>27</v>
      </c>
      <c r="Z98" t="s">
        <v>24</v>
      </c>
      <c r="AA98" t="s">
        <v>25</v>
      </c>
      <c r="AB98" t="s">
        <v>26</v>
      </c>
      <c r="AC98" t="s">
        <v>27</v>
      </c>
    </row>
    <row r="99" spans="1:29" x14ac:dyDescent="0.25">
      <c r="A99" s="2">
        <v>500000</v>
      </c>
      <c r="B99" s="2">
        <v>42</v>
      </c>
      <c r="C99" s="2">
        <v>16808002900</v>
      </c>
      <c r="D99" s="2">
        <v>1096</v>
      </c>
      <c r="E99" s="2"/>
      <c r="F99" s="2">
        <v>500000</v>
      </c>
      <c r="G99" s="2">
        <v>75</v>
      </c>
      <c r="H99" s="2">
        <v>35288006940</v>
      </c>
      <c r="I99" s="2">
        <v>2394</v>
      </c>
      <c r="J99" s="2"/>
      <c r="K99" s="2">
        <v>500000</v>
      </c>
      <c r="L99" s="2">
        <v>41</v>
      </c>
      <c r="M99" s="2">
        <v>53768010980</v>
      </c>
      <c r="N99" s="2">
        <v>3708</v>
      </c>
      <c r="O99" s="2"/>
      <c r="P99" s="2">
        <v>500000</v>
      </c>
      <c r="Q99" s="2">
        <v>41</v>
      </c>
      <c r="R99" s="2">
        <v>72248015020</v>
      </c>
      <c r="S99" s="2">
        <v>5008</v>
      </c>
      <c r="T99" s="2"/>
      <c r="U99" s="2">
        <v>500000</v>
      </c>
      <c r="V99" s="2">
        <v>42</v>
      </c>
      <c r="W99" s="2">
        <v>90728019060</v>
      </c>
      <c r="X99" s="2">
        <v>6376</v>
      </c>
      <c r="Y99" s="2"/>
      <c r="Z99" s="2">
        <v>500000</v>
      </c>
      <c r="AA99" s="2">
        <f t="shared" ref="AA99:AA118" si="12">AVERAGE(B99,G99,L99,Q99,V99)</f>
        <v>48.2</v>
      </c>
      <c r="AB99" s="2">
        <f t="shared" ref="AB99:AB118" si="13">AVERAGE(C99,H99,M99,R99,W99)</f>
        <v>53768010980</v>
      </c>
      <c r="AC99" s="2">
        <f t="shared" ref="AC99:AC118" si="14">AVERAGE(D99,I99,N99,S99,X99)</f>
        <v>3716.4</v>
      </c>
    </row>
    <row r="100" spans="1:29" x14ac:dyDescent="0.25">
      <c r="A100" s="2">
        <v>1000000</v>
      </c>
      <c r="B100" s="2">
        <v>84</v>
      </c>
      <c r="C100" s="2">
        <v>16824002960</v>
      </c>
      <c r="D100" s="2">
        <v>1104</v>
      </c>
      <c r="E100" s="2"/>
      <c r="F100" s="2">
        <v>1000000</v>
      </c>
      <c r="G100" s="2">
        <v>146</v>
      </c>
      <c r="H100" s="2">
        <v>35304007000</v>
      </c>
      <c r="I100" s="2">
        <v>2404</v>
      </c>
      <c r="J100" s="2"/>
      <c r="K100" s="2">
        <v>1000000</v>
      </c>
      <c r="L100" s="2">
        <v>84</v>
      </c>
      <c r="M100" s="2">
        <v>53784011040</v>
      </c>
      <c r="N100" s="2">
        <v>3727</v>
      </c>
      <c r="O100" s="2"/>
      <c r="P100" s="2">
        <v>1000000</v>
      </c>
      <c r="Q100" s="2">
        <v>82</v>
      </c>
      <c r="R100" s="2">
        <v>72264015080</v>
      </c>
      <c r="S100" s="2">
        <v>5015</v>
      </c>
      <c r="T100" s="2"/>
      <c r="U100" s="2">
        <v>1000000</v>
      </c>
      <c r="V100" s="2">
        <v>84</v>
      </c>
      <c r="W100" s="2">
        <v>90744019120</v>
      </c>
      <c r="X100" s="2">
        <v>6391</v>
      </c>
      <c r="Y100" s="2"/>
      <c r="Z100" s="2">
        <v>1000000</v>
      </c>
      <c r="AA100" s="2">
        <f t="shared" si="12"/>
        <v>96</v>
      </c>
      <c r="AB100" s="2">
        <f t="shared" si="13"/>
        <v>53784011040</v>
      </c>
      <c r="AC100" s="2">
        <f t="shared" si="14"/>
        <v>3728.2</v>
      </c>
    </row>
    <row r="101" spans="1:29" x14ac:dyDescent="0.25">
      <c r="A101" s="2">
        <v>1500000</v>
      </c>
      <c r="B101" s="2">
        <v>124</v>
      </c>
      <c r="C101" s="2">
        <v>16848003020</v>
      </c>
      <c r="D101" s="2">
        <v>1115</v>
      </c>
      <c r="E101" s="2"/>
      <c r="F101" s="2">
        <v>1500000</v>
      </c>
      <c r="G101" s="2">
        <v>219</v>
      </c>
      <c r="H101" s="2">
        <v>35328007060</v>
      </c>
      <c r="I101" s="2">
        <v>2415</v>
      </c>
      <c r="J101" s="2"/>
      <c r="K101" s="2">
        <v>1500000</v>
      </c>
      <c r="L101" s="2">
        <v>125</v>
      </c>
      <c r="M101" s="2">
        <v>53808011100</v>
      </c>
      <c r="N101" s="2">
        <v>3738</v>
      </c>
      <c r="O101" s="2"/>
      <c r="P101" s="2">
        <v>1500000</v>
      </c>
      <c r="Q101" s="2">
        <v>125</v>
      </c>
      <c r="R101" s="2">
        <v>72288015140</v>
      </c>
      <c r="S101" s="2">
        <v>5035</v>
      </c>
      <c r="T101" s="2"/>
      <c r="U101" s="2">
        <v>1500000</v>
      </c>
      <c r="V101" s="2">
        <v>121</v>
      </c>
      <c r="W101" s="2">
        <v>90768019180</v>
      </c>
      <c r="X101" s="2">
        <v>6403</v>
      </c>
      <c r="Y101" s="2"/>
      <c r="Z101" s="2">
        <v>1500000</v>
      </c>
      <c r="AA101" s="2">
        <f t="shared" si="12"/>
        <v>142.80000000000001</v>
      </c>
      <c r="AB101" s="2">
        <f t="shared" si="13"/>
        <v>53808011100</v>
      </c>
      <c r="AC101" s="2">
        <f t="shared" si="14"/>
        <v>3741.2</v>
      </c>
    </row>
    <row r="102" spans="1:29" x14ac:dyDescent="0.25">
      <c r="A102" s="2">
        <v>2000000</v>
      </c>
      <c r="B102" s="2">
        <v>165</v>
      </c>
      <c r="C102" s="2">
        <v>16880003080</v>
      </c>
      <c r="D102" s="2">
        <v>1133</v>
      </c>
      <c r="E102" s="2"/>
      <c r="F102" s="2">
        <v>2000000</v>
      </c>
      <c r="G102" s="2">
        <v>293</v>
      </c>
      <c r="H102" s="2">
        <v>35360007120</v>
      </c>
      <c r="I102" s="2">
        <v>2428</v>
      </c>
      <c r="J102" s="2"/>
      <c r="K102" s="2">
        <v>2000000</v>
      </c>
      <c r="L102" s="2">
        <v>162</v>
      </c>
      <c r="M102" s="2">
        <v>53840011160</v>
      </c>
      <c r="N102" s="2">
        <v>3754</v>
      </c>
      <c r="O102" s="2"/>
      <c r="P102" s="2">
        <v>2000000</v>
      </c>
      <c r="Q102" s="2">
        <v>167</v>
      </c>
      <c r="R102" s="2">
        <v>72320015200</v>
      </c>
      <c r="S102" s="2">
        <v>5050</v>
      </c>
      <c r="T102" s="2"/>
      <c r="U102" s="2">
        <v>2000000</v>
      </c>
      <c r="V102" s="2">
        <v>168</v>
      </c>
      <c r="W102" s="2">
        <v>90800019240</v>
      </c>
      <c r="X102" s="2">
        <v>6414</v>
      </c>
      <c r="Y102" s="2"/>
      <c r="Z102" s="2">
        <v>2000000</v>
      </c>
      <c r="AA102" s="2">
        <f t="shared" si="12"/>
        <v>191</v>
      </c>
      <c r="AB102" s="2">
        <f t="shared" si="13"/>
        <v>53840011160</v>
      </c>
      <c r="AC102" s="2">
        <f t="shared" si="14"/>
        <v>3755.8</v>
      </c>
    </row>
    <row r="103" spans="1:29" x14ac:dyDescent="0.25">
      <c r="A103" s="2">
        <v>2500000</v>
      </c>
      <c r="B103" s="2">
        <v>211</v>
      </c>
      <c r="C103" s="2">
        <v>16920003140</v>
      </c>
      <c r="D103" s="2">
        <v>1142</v>
      </c>
      <c r="E103" s="2"/>
      <c r="F103" s="2">
        <v>2500000</v>
      </c>
      <c r="G103" s="2">
        <v>365</v>
      </c>
      <c r="H103" s="2">
        <v>35400007180</v>
      </c>
      <c r="I103" s="2">
        <v>2444</v>
      </c>
      <c r="J103" s="2"/>
      <c r="K103" s="2">
        <v>2500000</v>
      </c>
      <c r="L103" s="2">
        <v>209</v>
      </c>
      <c r="M103" s="2">
        <v>53880011220</v>
      </c>
      <c r="N103" s="2">
        <v>3766</v>
      </c>
      <c r="O103" s="2"/>
      <c r="P103" s="2">
        <v>2500000</v>
      </c>
      <c r="Q103" s="2">
        <v>208</v>
      </c>
      <c r="R103" s="2">
        <v>72360015260</v>
      </c>
      <c r="S103" s="2">
        <v>5063</v>
      </c>
      <c r="T103" s="2"/>
      <c r="U103" s="2">
        <v>2500000</v>
      </c>
      <c r="V103" s="2">
        <v>203</v>
      </c>
      <c r="W103" s="2">
        <v>90840019300</v>
      </c>
      <c r="X103" s="2">
        <v>6423</v>
      </c>
      <c r="Y103" s="2"/>
      <c r="Z103" s="2">
        <v>2500000</v>
      </c>
      <c r="AA103" s="2">
        <f t="shared" si="12"/>
        <v>239.2</v>
      </c>
      <c r="AB103" s="2">
        <f t="shared" si="13"/>
        <v>53880011220</v>
      </c>
      <c r="AC103" s="2">
        <f t="shared" si="14"/>
        <v>3767.6</v>
      </c>
    </row>
    <row r="104" spans="1:29" x14ac:dyDescent="0.25">
      <c r="A104" s="2">
        <v>3000000</v>
      </c>
      <c r="B104" s="2">
        <v>245</v>
      </c>
      <c r="C104" s="2">
        <v>16968003200</v>
      </c>
      <c r="D104" s="2">
        <v>1156</v>
      </c>
      <c r="E104" s="2"/>
      <c r="F104" s="2">
        <v>3000000</v>
      </c>
      <c r="G104" s="2">
        <v>437</v>
      </c>
      <c r="H104" s="2">
        <v>35448007240</v>
      </c>
      <c r="I104" s="2">
        <v>2450</v>
      </c>
      <c r="J104" s="2"/>
      <c r="K104" s="2">
        <v>3000000</v>
      </c>
      <c r="L104" s="2">
        <v>249</v>
      </c>
      <c r="M104" s="2">
        <v>53928011280</v>
      </c>
      <c r="N104" s="2">
        <v>3778</v>
      </c>
      <c r="O104" s="2"/>
      <c r="P104" s="2">
        <v>3000000</v>
      </c>
      <c r="Q104" s="2">
        <v>250</v>
      </c>
      <c r="R104" s="2">
        <v>72408015320</v>
      </c>
      <c r="S104" s="2">
        <v>5076</v>
      </c>
      <c r="T104" s="2"/>
      <c r="U104" s="2">
        <v>3000000</v>
      </c>
      <c r="V104" s="2">
        <v>243</v>
      </c>
      <c r="W104" s="2">
        <v>90888019360</v>
      </c>
      <c r="X104" s="2">
        <v>6432</v>
      </c>
      <c r="Y104" s="2"/>
      <c r="Z104" s="2">
        <v>3000000</v>
      </c>
      <c r="AA104" s="2">
        <f t="shared" si="12"/>
        <v>284.8</v>
      </c>
      <c r="AB104" s="2">
        <f t="shared" si="13"/>
        <v>53928011280</v>
      </c>
      <c r="AC104" s="2">
        <f t="shared" si="14"/>
        <v>3778.4</v>
      </c>
    </row>
    <row r="105" spans="1:29" x14ac:dyDescent="0.25">
      <c r="A105" s="2">
        <v>3500000</v>
      </c>
      <c r="B105" s="2">
        <v>284</v>
      </c>
      <c r="C105" s="2">
        <v>17024003260</v>
      </c>
      <c r="D105" s="2">
        <v>1166</v>
      </c>
      <c r="E105" s="2"/>
      <c r="F105" s="2">
        <v>3500000</v>
      </c>
      <c r="G105" s="2">
        <v>516</v>
      </c>
      <c r="H105" s="2">
        <v>35504007300</v>
      </c>
      <c r="I105" s="2">
        <v>2458</v>
      </c>
      <c r="J105" s="2"/>
      <c r="K105" s="2">
        <v>3500000</v>
      </c>
      <c r="L105" s="2">
        <v>291</v>
      </c>
      <c r="M105" s="2">
        <v>53984011340</v>
      </c>
      <c r="N105" s="2">
        <v>3790</v>
      </c>
      <c r="O105" s="2"/>
      <c r="P105" s="2">
        <v>3500000</v>
      </c>
      <c r="Q105" s="2">
        <v>284</v>
      </c>
      <c r="R105" s="2">
        <v>72464015380</v>
      </c>
      <c r="S105" s="2">
        <v>5087</v>
      </c>
      <c r="T105" s="2"/>
      <c r="U105" s="2">
        <v>3500000</v>
      </c>
      <c r="V105" s="2">
        <v>291</v>
      </c>
      <c r="W105" s="2">
        <v>90944019420</v>
      </c>
      <c r="X105" s="2">
        <v>6438</v>
      </c>
      <c r="Y105" s="2"/>
      <c r="Z105" s="2">
        <v>3500000</v>
      </c>
      <c r="AA105" s="2">
        <f t="shared" si="12"/>
        <v>333.2</v>
      </c>
      <c r="AB105" s="2">
        <f t="shared" si="13"/>
        <v>53984011340</v>
      </c>
      <c r="AC105" s="2">
        <f t="shared" si="14"/>
        <v>3787.8</v>
      </c>
    </row>
    <row r="106" spans="1:29" x14ac:dyDescent="0.25">
      <c r="A106" s="2">
        <v>4000000</v>
      </c>
      <c r="B106" s="2">
        <v>330</v>
      </c>
      <c r="C106" s="2">
        <v>17088003320</v>
      </c>
      <c r="D106" s="2">
        <v>1177</v>
      </c>
      <c r="E106" s="2"/>
      <c r="F106" s="2">
        <v>4000000</v>
      </c>
      <c r="G106" s="2">
        <v>586</v>
      </c>
      <c r="H106" s="2">
        <v>35568007360</v>
      </c>
      <c r="I106" s="2">
        <v>2468</v>
      </c>
      <c r="J106" s="2"/>
      <c r="K106" s="2">
        <v>4000000</v>
      </c>
      <c r="L106" s="2">
        <v>335</v>
      </c>
      <c r="M106" s="2">
        <v>54048011400</v>
      </c>
      <c r="N106" s="2">
        <v>3808</v>
      </c>
      <c r="O106" s="2"/>
      <c r="P106" s="2">
        <v>4000000</v>
      </c>
      <c r="Q106" s="2">
        <v>335</v>
      </c>
      <c r="R106" s="2">
        <v>72528015440</v>
      </c>
      <c r="S106" s="2">
        <v>5101</v>
      </c>
      <c r="T106" s="2"/>
      <c r="U106" s="2">
        <v>4000000</v>
      </c>
      <c r="V106" s="2">
        <v>332</v>
      </c>
      <c r="W106" s="2">
        <v>91008019480</v>
      </c>
      <c r="X106" s="2">
        <v>6451</v>
      </c>
      <c r="Y106" s="2"/>
      <c r="Z106" s="2">
        <v>4000000</v>
      </c>
      <c r="AA106" s="2">
        <f t="shared" si="12"/>
        <v>383.6</v>
      </c>
      <c r="AB106" s="2">
        <f t="shared" si="13"/>
        <v>54048011400</v>
      </c>
      <c r="AC106" s="2">
        <f t="shared" si="14"/>
        <v>3801</v>
      </c>
    </row>
    <row r="107" spans="1:29" x14ac:dyDescent="0.25">
      <c r="A107" s="2">
        <v>4500000</v>
      </c>
      <c r="B107" s="2">
        <v>371</v>
      </c>
      <c r="C107" s="2">
        <v>17160003380</v>
      </c>
      <c r="D107" s="2">
        <v>1190</v>
      </c>
      <c r="E107" s="2"/>
      <c r="F107" s="2">
        <v>4500000</v>
      </c>
      <c r="G107" s="2">
        <v>690</v>
      </c>
      <c r="H107" s="2">
        <v>35640007420</v>
      </c>
      <c r="I107" s="2">
        <v>2487</v>
      </c>
      <c r="J107" s="2"/>
      <c r="K107" s="2">
        <v>4500000</v>
      </c>
      <c r="L107" s="2">
        <v>373</v>
      </c>
      <c r="M107" s="2">
        <v>54120011460</v>
      </c>
      <c r="N107" s="2">
        <v>3818</v>
      </c>
      <c r="O107" s="2"/>
      <c r="P107" s="2">
        <v>4500000</v>
      </c>
      <c r="Q107" s="2">
        <v>373</v>
      </c>
      <c r="R107" s="2">
        <v>72600015500</v>
      </c>
      <c r="S107" s="2">
        <v>5110</v>
      </c>
      <c r="T107" s="2"/>
      <c r="U107" s="2">
        <v>4500000</v>
      </c>
      <c r="V107" s="2">
        <v>364</v>
      </c>
      <c r="W107" s="2">
        <v>91080019540</v>
      </c>
      <c r="X107" s="2">
        <v>6461</v>
      </c>
      <c r="Y107" s="2"/>
      <c r="Z107" s="2">
        <v>4500000</v>
      </c>
      <c r="AA107" s="2">
        <f t="shared" si="12"/>
        <v>434.2</v>
      </c>
      <c r="AB107" s="2">
        <f t="shared" si="13"/>
        <v>54120011460</v>
      </c>
      <c r="AC107" s="2">
        <f t="shared" si="14"/>
        <v>3813.2</v>
      </c>
    </row>
    <row r="108" spans="1:29" x14ac:dyDescent="0.25">
      <c r="A108" s="2">
        <v>5000000</v>
      </c>
      <c r="B108" s="2">
        <v>413</v>
      </c>
      <c r="C108" s="2">
        <v>17240003440</v>
      </c>
      <c r="D108" s="2">
        <v>1201</v>
      </c>
      <c r="E108" s="2"/>
      <c r="F108" s="2">
        <v>5000000</v>
      </c>
      <c r="G108" s="2">
        <v>756</v>
      </c>
      <c r="H108" s="2">
        <v>35720007480</v>
      </c>
      <c r="I108" s="2">
        <v>2501</v>
      </c>
      <c r="J108" s="2"/>
      <c r="K108" s="2">
        <v>5000000</v>
      </c>
      <c r="L108" s="2">
        <v>416</v>
      </c>
      <c r="M108" s="2">
        <v>54200011520</v>
      </c>
      <c r="N108" s="2">
        <v>3833</v>
      </c>
      <c r="O108" s="2"/>
      <c r="P108" s="2">
        <v>5000000</v>
      </c>
      <c r="Q108" s="2">
        <v>418</v>
      </c>
      <c r="R108" s="2">
        <v>72680015560</v>
      </c>
      <c r="S108" s="2">
        <v>5118</v>
      </c>
      <c r="T108" s="2"/>
      <c r="U108" s="2">
        <v>5000000</v>
      </c>
      <c r="V108" s="2">
        <v>405</v>
      </c>
      <c r="W108" s="2">
        <v>91160019600</v>
      </c>
      <c r="X108" s="2">
        <v>6475</v>
      </c>
      <c r="Y108" s="2"/>
      <c r="Z108" s="2">
        <v>5000000</v>
      </c>
      <c r="AA108" s="2">
        <f t="shared" si="12"/>
        <v>481.6</v>
      </c>
      <c r="AB108" s="2">
        <f t="shared" si="13"/>
        <v>54200011520</v>
      </c>
      <c r="AC108" s="2">
        <f t="shared" si="14"/>
        <v>3825.6</v>
      </c>
    </row>
    <row r="109" spans="1:29" x14ac:dyDescent="0.25">
      <c r="A109" s="2">
        <v>5500000</v>
      </c>
      <c r="B109" s="2">
        <v>445</v>
      </c>
      <c r="C109" s="2">
        <v>17328003500</v>
      </c>
      <c r="D109" s="2">
        <v>1211</v>
      </c>
      <c r="E109" s="2"/>
      <c r="F109" s="2">
        <v>5500000</v>
      </c>
      <c r="G109" s="2">
        <v>840</v>
      </c>
      <c r="H109" s="2">
        <v>35808007540</v>
      </c>
      <c r="I109" s="2">
        <v>2514</v>
      </c>
      <c r="J109" s="2"/>
      <c r="K109" s="2">
        <v>5500000</v>
      </c>
      <c r="L109" s="2">
        <v>458</v>
      </c>
      <c r="M109" s="2">
        <v>54288011580</v>
      </c>
      <c r="N109" s="2">
        <v>3845</v>
      </c>
      <c r="O109" s="2"/>
      <c r="P109" s="2">
        <v>5500000</v>
      </c>
      <c r="Q109" s="2">
        <v>456</v>
      </c>
      <c r="R109" s="2">
        <v>72768015620</v>
      </c>
      <c r="S109" s="2">
        <v>5128</v>
      </c>
      <c r="T109" s="2"/>
      <c r="U109" s="2">
        <v>5500000</v>
      </c>
      <c r="V109" s="2">
        <v>450</v>
      </c>
      <c r="W109" s="2">
        <v>91248019660</v>
      </c>
      <c r="X109" s="2">
        <v>6488</v>
      </c>
      <c r="Y109" s="2"/>
      <c r="Z109" s="2">
        <v>5500000</v>
      </c>
      <c r="AA109" s="2">
        <f t="shared" si="12"/>
        <v>529.79999999999995</v>
      </c>
      <c r="AB109" s="2">
        <f t="shared" si="13"/>
        <v>54288011580</v>
      </c>
      <c r="AC109" s="2">
        <f t="shared" si="14"/>
        <v>3837.2</v>
      </c>
    </row>
    <row r="110" spans="1:29" x14ac:dyDescent="0.25">
      <c r="A110" s="2">
        <v>6000000</v>
      </c>
      <c r="B110" s="2">
        <v>495</v>
      </c>
      <c r="C110" s="2">
        <v>17424003560</v>
      </c>
      <c r="D110" s="2">
        <v>1222</v>
      </c>
      <c r="E110" s="2"/>
      <c r="F110" s="2">
        <v>6000000</v>
      </c>
      <c r="G110" s="2">
        <v>539</v>
      </c>
      <c r="H110" s="2">
        <v>35904007600</v>
      </c>
      <c r="I110" s="2">
        <v>2526</v>
      </c>
      <c r="J110" s="2"/>
      <c r="K110" s="2">
        <v>6000000</v>
      </c>
      <c r="L110" s="2">
        <v>496</v>
      </c>
      <c r="M110" s="2">
        <v>54384011640</v>
      </c>
      <c r="N110" s="2">
        <v>3857</v>
      </c>
      <c r="O110" s="2"/>
      <c r="P110" s="2">
        <v>6000000</v>
      </c>
      <c r="Q110" s="2">
        <v>503</v>
      </c>
      <c r="R110" s="2">
        <v>72864015680</v>
      </c>
      <c r="S110" s="2">
        <v>5139</v>
      </c>
      <c r="T110" s="2"/>
      <c r="U110" s="2">
        <v>6000000</v>
      </c>
      <c r="V110" s="2">
        <v>494</v>
      </c>
      <c r="W110" s="2">
        <v>91344019720</v>
      </c>
      <c r="X110" s="2">
        <v>6496</v>
      </c>
      <c r="Y110" s="2"/>
      <c r="Z110" s="2">
        <v>6000000</v>
      </c>
      <c r="AA110" s="2">
        <f t="shared" si="12"/>
        <v>505.4</v>
      </c>
      <c r="AB110" s="2">
        <f t="shared" si="13"/>
        <v>54384011640</v>
      </c>
      <c r="AC110" s="2">
        <f t="shared" si="14"/>
        <v>3848</v>
      </c>
    </row>
    <row r="111" spans="1:29" x14ac:dyDescent="0.25">
      <c r="A111" s="2">
        <v>6500000</v>
      </c>
      <c r="B111" s="2">
        <v>536</v>
      </c>
      <c r="C111" s="2">
        <v>17528003620</v>
      </c>
      <c r="D111" s="2">
        <v>1233</v>
      </c>
      <c r="E111" s="2"/>
      <c r="F111" s="2">
        <v>6500000</v>
      </c>
      <c r="G111" s="2">
        <v>543</v>
      </c>
      <c r="H111" s="2">
        <v>36008007660</v>
      </c>
      <c r="I111" s="2">
        <v>2535</v>
      </c>
      <c r="J111" s="2"/>
      <c r="K111" s="2">
        <v>6500000</v>
      </c>
      <c r="L111" s="2">
        <v>526</v>
      </c>
      <c r="M111" s="2">
        <v>54488011700</v>
      </c>
      <c r="N111" s="2">
        <v>3864</v>
      </c>
      <c r="O111" s="2"/>
      <c r="P111" s="2">
        <v>6500000</v>
      </c>
      <c r="Q111" s="2">
        <v>538</v>
      </c>
      <c r="R111" s="2">
        <v>72968015740</v>
      </c>
      <c r="S111" s="2">
        <v>5151</v>
      </c>
      <c r="T111" s="2"/>
      <c r="U111" s="2">
        <v>6500000</v>
      </c>
      <c r="V111" s="2">
        <v>536</v>
      </c>
      <c r="W111" s="2">
        <v>91448019780</v>
      </c>
      <c r="X111" s="2">
        <v>6505</v>
      </c>
      <c r="Y111" s="2"/>
      <c r="Z111" s="2">
        <v>6500000</v>
      </c>
      <c r="AA111" s="2">
        <f t="shared" si="12"/>
        <v>535.79999999999995</v>
      </c>
      <c r="AB111" s="2">
        <f t="shared" si="13"/>
        <v>54488011700</v>
      </c>
      <c r="AC111" s="2">
        <f t="shared" si="14"/>
        <v>3857.6</v>
      </c>
    </row>
    <row r="112" spans="1:29" x14ac:dyDescent="0.25">
      <c r="A112" s="2">
        <v>7000000</v>
      </c>
      <c r="B112" s="2">
        <v>580</v>
      </c>
      <c r="C112" s="2">
        <v>17640003680</v>
      </c>
      <c r="D112" s="2">
        <v>1244</v>
      </c>
      <c r="E112" s="2"/>
      <c r="F112" s="2">
        <v>7000000</v>
      </c>
      <c r="G112" s="2">
        <v>582</v>
      </c>
      <c r="H112" s="2">
        <v>36120007720</v>
      </c>
      <c r="I112" s="2">
        <v>2547</v>
      </c>
      <c r="J112" s="2"/>
      <c r="K112" s="2">
        <v>7000000</v>
      </c>
      <c r="L112" s="2">
        <v>576</v>
      </c>
      <c r="M112" s="2">
        <v>54600011760</v>
      </c>
      <c r="N112" s="2">
        <v>3872</v>
      </c>
      <c r="O112" s="2"/>
      <c r="P112" s="2">
        <v>7000000</v>
      </c>
      <c r="Q112" s="2">
        <v>568</v>
      </c>
      <c r="R112" s="2">
        <v>73080015800</v>
      </c>
      <c r="S112" s="2">
        <v>5165</v>
      </c>
      <c r="T112" s="2"/>
      <c r="U112" s="2">
        <v>7000000</v>
      </c>
      <c r="V112" s="2">
        <v>584</v>
      </c>
      <c r="W112" s="2">
        <v>91560019840</v>
      </c>
      <c r="X112" s="2">
        <v>6520</v>
      </c>
      <c r="Y112" s="2"/>
      <c r="Z112" s="2">
        <v>7000000</v>
      </c>
      <c r="AA112" s="2">
        <f t="shared" si="12"/>
        <v>578</v>
      </c>
      <c r="AB112" s="2">
        <f t="shared" si="13"/>
        <v>54600011760</v>
      </c>
      <c r="AC112" s="2">
        <f t="shared" si="14"/>
        <v>3869.6</v>
      </c>
    </row>
    <row r="113" spans="1:29" x14ac:dyDescent="0.25">
      <c r="A113" s="2">
        <v>7500000</v>
      </c>
      <c r="B113" s="2">
        <v>617</v>
      </c>
      <c r="C113" s="2">
        <v>17760003740</v>
      </c>
      <c r="D113" s="2">
        <v>1253</v>
      </c>
      <c r="E113" s="2"/>
      <c r="F113" s="2">
        <v>7500000</v>
      </c>
      <c r="G113" s="2">
        <v>615</v>
      </c>
      <c r="H113" s="2">
        <v>36240007780</v>
      </c>
      <c r="I113" s="2">
        <v>2556</v>
      </c>
      <c r="J113" s="2"/>
      <c r="K113" s="2">
        <v>7500000</v>
      </c>
      <c r="L113" s="2">
        <v>617</v>
      </c>
      <c r="M113" s="2">
        <v>54720011820</v>
      </c>
      <c r="N113" s="2">
        <v>3886</v>
      </c>
      <c r="O113" s="2"/>
      <c r="P113" s="2">
        <v>7500000</v>
      </c>
      <c r="Q113" s="2">
        <v>625</v>
      </c>
      <c r="R113" s="2">
        <v>73200015860</v>
      </c>
      <c r="S113" s="2">
        <v>5177</v>
      </c>
      <c r="T113" s="2"/>
      <c r="U113" s="2">
        <v>7500000</v>
      </c>
      <c r="V113" s="2">
        <v>622</v>
      </c>
      <c r="W113" s="2">
        <v>91680019900</v>
      </c>
      <c r="X113" s="2">
        <v>6532</v>
      </c>
      <c r="Y113" s="2"/>
      <c r="Z113" s="2">
        <v>7500000</v>
      </c>
      <c r="AA113" s="2">
        <f t="shared" si="12"/>
        <v>619.20000000000005</v>
      </c>
      <c r="AB113" s="2">
        <f t="shared" si="13"/>
        <v>54720011820</v>
      </c>
      <c r="AC113" s="2">
        <f t="shared" si="14"/>
        <v>3880.8</v>
      </c>
    </row>
    <row r="114" spans="1:29" x14ac:dyDescent="0.25">
      <c r="A114" s="2">
        <v>8000000</v>
      </c>
      <c r="B114" s="2">
        <v>665</v>
      </c>
      <c r="C114" s="2">
        <v>17888003800</v>
      </c>
      <c r="D114" s="2">
        <v>1263</v>
      </c>
      <c r="E114" s="2"/>
      <c r="F114" s="2">
        <v>8000000</v>
      </c>
      <c r="G114" s="2">
        <v>661</v>
      </c>
      <c r="H114" s="2">
        <v>36368007840</v>
      </c>
      <c r="I114" s="2">
        <v>2562</v>
      </c>
      <c r="J114" s="2"/>
      <c r="K114" s="2">
        <v>8000000</v>
      </c>
      <c r="L114" s="2">
        <v>662</v>
      </c>
      <c r="M114" s="2">
        <v>54848011880</v>
      </c>
      <c r="N114" s="2">
        <v>3898</v>
      </c>
      <c r="O114" s="2"/>
      <c r="P114" s="2">
        <v>8000000</v>
      </c>
      <c r="Q114" s="2">
        <v>662</v>
      </c>
      <c r="R114" s="2">
        <v>73328015920</v>
      </c>
      <c r="S114" s="2">
        <v>5193</v>
      </c>
      <c r="T114" s="2"/>
      <c r="U114" s="2">
        <v>8000000</v>
      </c>
      <c r="V114" s="2">
        <v>664</v>
      </c>
      <c r="W114" s="2">
        <v>91808019960</v>
      </c>
      <c r="X114" s="2">
        <v>6542</v>
      </c>
      <c r="Y114" s="2"/>
      <c r="Z114" s="2">
        <v>8000000</v>
      </c>
      <c r="AA114" s="2">
        <f t="shared" si="12"/>
        <v>662.8</v>
      </c>
      <c r="AB114" s="2">
        <f t="shared" si="13"/>
        <v>54848011880</v>
      </c>
      <c r="AC114" s="2">
        <f t="shared" si="14"/>
        <v>3891.6</v>
      </c>
    </row>
    <row r="115" spans="1:29" x14ac:dyDescent="0.25">
      <c r="A115" s="2">
        <v>8500000</v>
      </c>
      <c r="B115" s="2">
        <v>703</v>
      </c>
      <c r="C115" s="2">
        <v>18024003860</v>
      </c>
      <c r="D115" s="2">
        <v>1275</v>
      </c>
      <c r="E115" s="2"/>
      <c r="F115" s="2">
        <v>8500000</v>
      </c>
      <c r="G115" s="2">
        <v>704</v>
      </c>
      <c r="H115" s="2">
        <v>36504007900</v>
      </c>
      <c r="I115" s="2">
        <v>2573</v>
      </c>
      <c r="J115" s="2"/>
      <c r="K115" s="2">
        <v>8500000</v>
      </c>
      <c r="L115" s="2">
        <v>704</v>
      </c>
      <c r="M115" s="2">
        <v>54984011940</v>
      </c>
      <c r="N115" s="2">
        <v>3909</v>
      </c>
      <c r="O115" s="2"/>
      <c r="P115" s="2">
        <v>8500000</v>
      </c>
      <c r="Q115" s="2">
        <v>704</v>
      </c>
      <c r="R115" s="2">
        <v>73464015980</v>
      </c>
      <c r="S115" s="2">
        <v>5203</v>
      </c>
      <c r="T115" s="2"/>
      <c r="U115" s="2">
        <v>8500000</v>
      </c>
      <c r="V115" s="2">
        <v>695</v>
      </c>
      <c r="W115" s="2">
        <v>91944020020</v>
      </c>
      <c r="X115" s="2">
        <v>6552</v>
      </c>
      <c r="Y115" s="2"/>
      <c r="Z115" s="2">
        <v>8500000</v>
      </c>
      <c r="AA115" s="2">
        <f t="shared" si="12"/>
        <v>702</v>
      </c>
      <c r="AB115" s="2">
        <f t="shared" si="13"/>
        <v>54984011940</v>
      </c>
      <c r="AC115" s="2">
        <f t="shared" si="14"/>
        <v>3902.4</v>
      </c>
    </row>
    <row r="116" spans="1:29" x14ac:dyDescent="0.25">
      <c r="A116" s="2">
        <v>9000000</v>
      </c>
      <c r="B116" s="2">
        <v>745</v>
      </c>
      <c r="C116" s="2">
        <v>18168003920</v>
      </c>
      <c r="D116" s="2">
        <v>1291</v>
      </c>
      <c r="E116" s="2"/>
      <c r="F116" s="2">
        <v>9000000</v>
      </c>
      <c r="G116" s="2">
        <v>743</v>
      </c>
      <c r="H116" s="2">
        <v>36648007960</v>
      </c>
      <c r="I116" s="2">
        <v>2587</v>
      </c>
      <c r="J116" s="2"/>
      <c r="K116" s="2">
        <v>9000000</v>
      </c>
      <c r="L116" s="2">
        <v>743</v>
      </c>
      <c r="M116" s="2">
        <v>55128012000</v>
      </c>
      <c r="N116" s="2">
        <v>3924</v>
      </c>
      <c r="O116" s="2"/>
      <c r="P116" s="2">
        <v>9000000</v>
      </c>
      <c r="Q116" s="2">
        <v>746</v>
      </c>
      <c r="R116" s="2">
        <v>73608016040</v>
      </c>
      <c r="S116" s="2">
        <v>5222</v>
      </c>
      <c r="T116" s="2"/>
      <c r="U116" s="2">
        <v>9000000</v>
      </c>
      <c r="V116" s="2">
        <v>747</v>
      </c>
      <c r="W116" s="2">
        <v>92088020080</v>
      </c>
      <c r="X116" s="2">
        <v>6563</v>
      </c>
      <c r="Y116" s="2"/>
      <c r="Z116" s="2">
        <v>9000000</v>
      </c>
      <c r="AA116" s="2">
        <f t="shared" si="12"/>
        <v>744.8</v>
      </c>
      <c r="AB116" s="2">
        <f t="shared" si="13"/>
        <v>55128012000</v>
      </c>
      <c r="AC116" s="2">
        <f t="shared" si="14"/>
        <v>3917.4</v>
      </c>
    </row>
    <row r="117" spans="1:29" x14ac:dyDescent="0.25">
      <c r="A117" s="2">
        <v>9500000</v>
      </c>
      <c r="B117" s="2">
        <v>787</v>
      </c>
      <c r="C117" s="2">
        <v>18320003980</v>
      </c>
      <c r="D117" s="2">
        <v>1309</v>
      </c>
      <c r="E117" s="2"/>
      <c r="F117" s="2">
        <v>9500000</v>
      </c>
      <c r="G117" s="2">
        <v>787</v>
      </c>
      <c r="H117" s="2">
        <v>36800008020</v>
      </c>
      <c r="I117" s="2">
        <v>2599</v>
      </c>
      <c r="J117" s="2"/>
      <c r="K117" s="2">
        <v>9500000</v>
      </c>
      <c r="L117" s="2">
        <v>788</v>
      </c>
      <c r="M117" s="2">
        <v>55280012060</v>
      </c>
      <c r="N117" s="2">
        <v>3937</v>
      </c>
      <c r="O117" s="2"/>
      <c r="P117" s="2">
        <v>9500000</v>
      </c>
      <c r="Q117" s="2">
        <v>789</v>
      </c>
      <c r="R117" s="2">
        <v>73760016100</v>
      </c>
      <c r="S117" s="2">
        <v>5240</v>
      </c>
      <c r="T117" s="2"/>
      <c r="U117" s="2">
        <v>9500000</v>
      </c>
      <c r="V117" s="2">
        <v>782</v>
      </c>
      <c r="W117" s="2">
        <v>92240020140</v>
      </c>
      <c r="X117" s="2">
        <v>6573</v>
      </c>
      <c r="Y117" s="2"/>
      <c r="Z117" s="2">
        <v>9500000</v>
      </c>
      <c r="AA117" s="2">
        <f t="shared" si="12"/>
        <v>786.6</v>
      </c>
      <c r="AB117" s="2">
        <f t="shared" si="13"/>
        <v>55280012060</v>
      </c>
      <c r="AC117" s="2">
        <f t="shared" si="14"/>
        <v>3931.6</v>
      </c>
    </row>
    <row r="118" spans="1:29" x14ac:dyDescent="0.25">
      <c r="A118" s="2">
        <v>10000000</v>
      </c>
      <c r="B118" s="2">
        <v>846</v>
      </c>
      <c r="C118" s="2">
        <v>18480004040</v>
      </c>
      <c r="D118" s="2">
        <v>1319</v>
      </c>
      <c r="E118" s="2"/>
      <c r="F118" s="2">
        <v>10000000</v>
      </c>
      <c r="G118" s="2">
        <v>829</v>
      </c>
      <c r="H118" s="2">
        <v>36960008080</v>
      </c>
      <c r="I118" s="2">
        <v>2607</v>
      </c>
      <c r="J118" s="2"/>
      <c r="K118" s="2">
        <v>10000000</v>
      </c>
      <c r="L118" s="2">
        <v>830</v>
      </c>
      <c r="M118" s="2">
        <v>55440012120</v>
      </c>
      <c r="N118" s="2">
        <v>3951</v>
      </c>
      <c r="O118" s="2"/>
      <c r="P118" s="2">
        <v>10000000</v>
      </c>
      <c r="Q118" s="2">
        <v>830</v>
      </c>
      <c r="R118" s="2">
        <v>73920016160</v>
      </c>
      <c r="S118" s="2">
        <v>5252</v>
      </c>
      <c r="T118" s="2"/>
      <c r="U118" s="2">
        <v>10000000</v>
      </c>
      <c r="V118" s="2">
        <v>828</v>
      </c>
      <c r="W118" s="2">
        <v>92400020200</v>
      </c>
      <c r="X118" s="2">
        <v>6586</v>
      </c>
      <c r="Y118" s="2"/>
      <c r="Z118" s="2">
        <v>10000000</v>
      </c>
      <c r="AA118" s="2">
        <f t="shared" si="12"/>
        <v>832.6</v>
      </c>
      <c r="AB118" s="2">
        <f t="shared" si="13"/>
        <v>55440012120</v>
      </c>
      <c r="AC118" s="2">
        <f t="shared" si="14"/>
        <v>3943</v>
      </c>
    </row>
  </sheetData>
  <mergeCells count="30">
    <mergeCell ref="Z1:AC1"/>
    <mergeCell ref="A1:D1"/>
    <mergeCell ref="F1:I1"/>
    <mergeCell ref="K1:N1"/>
    <mergeCell ref="P1:S1"/>
    <mergeCell ref="U1:X1"/>
    <mergeCell ref="Z49:AC49"/>
    <mergeCell ref="A25:D25"/>
    <mergeCell ref="F25:I25"/>
    <mergeCell ref="K25:N25"/>
    <mergeCell ref="P25:S25"/>
    <mergeCell ref="U25:X25"/>
    <mergeCell ref="Z25:AC25"/>
    <mergeCell ref="A49:D49"/>
    <mergeCell ref="F49:I49"/>
    <mergeCell ref="K49:N49"/>
    <mergeCell ref="P49:S49"/>
    <mergeCell ref="U49:X49"/>
    <mergeCell ref="Z97:AC97"/>
    <mergeCell ref="A73:D73"/>
    <mergeCell ref="F73:I73"/>
    <mergeCell ref="K73:N73"/>
    <mergeCell ref="P73:S73"/>
    <mergeCell ref="U73:X73"/>
    <mergeCell ref="Z73:AC73"/>
    <mergeCell ref="A97:D97"/>
    <mergeCell ref="F97:I97"/>
    <mergeCell ref="K97:N97"/>
    <mergeCell ref="P97:S97"/>
    <mergeCell ref="U97:X97"/>
  </mergeCells>
  <pageMargins left="0.7" right="0.7" top="0.75" bottom="0.75" header="0.3" footer="0.3"/>
  <drawing r:id="rId1"/>
  <tableParts count="3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D2FF-5B02-4A76-9D03-6D9497FEDD02}">
  <dimension ref="A1:AC118"/>
  <sheetViews>
    <sheetView topLeftCell="X54" zoomScale="82" zoomScaleNormal="145" workbookViewId="0">
      <selection activeCell="AW78" sqref="AW78"/>
    </sheetView>
  </sheetViews>
  <sheetFormatPr defaultRowHeight="15" x14ac:dyDescent="0.25"/>
  <cols>
    <col min="1" max="1" width="14" customWidth="1"/>
    <col min="3" max="3" width="14.5703125" bestFit="1" customWidth="1"/>
    <col min="4" max="4" width="14.7109375" bestFit="1" customWidth="1"/>
    <col min="6" max="6" width="12.85546875" customWidth="1"/>
    <col min="8" max="8" width="14.5703125" bestFit="1" customWidth="1"/>
    <col min="9" max="9" width="14.7109375" bestFit="1" customWidth="1"/>
    <col min="11" max="11" width="12.42578125" customWidth="1"/>
    <col min="13" max="13" width="14.5703125" bestFit="1" customWidth="1"/>
    <col min="14" max="14" width="14.7109375" bestFit="1" customWidth="1"/>
    <col min="16" max="16" width="15.85546875" bestFit="1" customWidth="1"/>
    <col min="18" max="18" width="14.5703125" bestFit="1" customWidth="1"/>
    <col min="19" max="19" width="14.7109375" bestFit="1" customWidth="1"/>
    <col min="21" max="21" width="11" customWidth="1"/>
    <col min="22" max="22" width="7.7109375" bestFit="1" customWidth="1"/>
    <col min="23" max="23" width="14.5703125" bestFit="1" customWidth="1"/>
    <col min="24" max="24" width="14.7109375" bestFit="1" customWidth="1"/>
    <col min="26" max="26" width="13.42578125" customWidth="1"/>
    <col min="28" max="29" width="15.140625" bestFit="1" customWidth="1"/>
  </cols>
  <sheetData>
    <row r="1" spans="1:29" x14ac:dyDescent="0.25">
      <c r="A1" s="3" t="s">
        <v>34</v>
      </c>
      <c r="B1" s="3"/>
      <c r="C1" s="3"/>
      <c r="D1" s="3"/>
      <c r="F1" s="3" t="s">
        <v>34</v>
      </c>
      <c r="G1" s="3"/>
      <c r="H1" s="3"/>
      <c r="I1" s="3"/>
      <c r="K1" s="3" t="s">
        <v>34</v>
      </c>
      <c r="L1" s="3"/>
      <c r="M1" s="3"/>
      <c r="N1" s="3"/>
      <c r="P1" s="3" t="s">
        <v>34</v>
      </c>
      <c r="Q1" s="3"/>
      <c r="R1" s="3"/>
      <c r="S1" s="3"/>
      <c r="U1" s="3" t="s">
        <v>34</v>
      </c>
      <c r="V1" s="3"/>
      <c r="W1" s="3"/>
      <c r="X1" s="3"/>
      <c r="Z1" s="3" t="s">
        <v>35</v>
      </c>
      <c r="AA1" s="3"/>
      <c r="AB1" s="3"/>
      <c r="AC1" s="3"/>
    </row>
    <row r="2" spans="1:29" x14ac:dyDescent="0.25">
      <c r="A2" t="s">
        <v>24</v>
      </c>
      <c r="B2" t="s">
        <v>25</v>
      </c>
      <c r="C2" t="s">
        <v>26</v>
      </c>
      <c r="D2" t="s">
        <v>27</v>
      </c>
      <c r="F2" t="s">
        <v>24</v>
      </c>
      <c r="G2" t="s">
        <v>25</v>
      </c>
      <c r="H2" t="s">
        <v>26</v>
      </c>
      <c r="I2" t="s">
        <v>27</v>
      </c>
      <c r="K2" t="s">
        <v>24</v>
      </c>
      <c r="L2" t="s">
        <v>25</v>
      </c>
      <c r="M2" t="s">
        <v>26</v>
      </c>
      <c r="N2" t="s">
        <v>27</v>
      </c>
      <c r="P2" t="s">
        <v>24</v>
      </c>
      <c r="Q2" t="s">
        <v>25</v>
      </c>
      <c r="R2" t="s">
        <v>26</v>
      </c>
      <c r="S2" t="s">
        <v>27</v>
      </c>
      <c r="U2" t="s">
        <v>24</v>
      </c>
      <c r="V2" t="s">
        <v>25</v>
      </c>
      <c r="W2" t="s">
        <v>26</v>
      </c>
      <c r="X2" t="s">
        <v>27</v>
      </c>
      <c r="Z2" t="s">
        <v>24</v>
      </c>
      <c r="AA2" t="s">
        <v>25</v>
      </c>
      <c r="AB2" t="s">
        <v>26</v>
      </c>
      <c r="AC2" t="s">
        <v>27</v>
      </c>
    </row>
    <row r="3" spans="1:29" x14ac:dyDescent="0.25">
      <c r="A3">
        <v>500000</v>
      </c>
      <c r="B3">
        <v>202</v>
      </c>
      <c r="C3">
        <v>39000019</v>
      </c>
      <c r="D3">
        <v>15</v>
      </c>
      <c r="F3">
        <v>500000</v>
      </c>
      <c r="G3">
        <v>374</v>
      </c>
      <c r="H3">
        <v>19569004059</v>
      </c>
      <c r="I3">
        <v>1475</v>
      </c>
      <c r="K3">
        <v>500000</v>
      </c>
      <c r="L3">
        <v>355</v>
      </c>
      <c r="M3">
        <v>39099008099</v>
      </c>
      <c r="N3">
        <v>2860</v>
      </c>
      <c r="P3">
        <v>500000</v>
      </c>
      <c r="Q3">
        <v>369</v>
      </c>
      <c r="R3">
        <v>58629012139</v>
      </c>
      <c r="S3">
        <v>4242</v>
      </c>
      <c r="U3">
        <v>500000</v>
      </c>
      <c r="V3">
        <v>360</v>
      </c>
      <c r="W3">
        <v>78159016179</v>
      </c>
      <c r="X3">
        <v>5656</v>
      </c>
      <c r="Z3">
        <v>500000</v>
      </c>
      <c r="AA3">
        <f t="shared" ref="AA3:AA22" si="0">AVERAGE(B3,G3,L3,Q3,V3)</f>
        <v>332</v>
      </c>
      <c r="AB3">
        <f t="shared" ref="AB3:AB22" si="1">AVERAGE(C3,H3,M3,R3,W3)</f>
        <v>39099008099</v>
      </c>
      <c r="AC3">
        <f t="shared" ref="AC3:AC22" si="2">AVERAGE(D3,I3,N3,S3,X3)</f>
        <v>2849.6</v>
      </c>
    </row>
    <row r="4" spans="1:29" x14ac:dyDescent="0.25">
      <c r="A4">
        <v>1000000</v>
      </c>
      <c r="B4">
        <v>415</v>
      </c>
      <c r="C4">
        <v>117000038</v>
      </c>
      <c r="D4">
        <v>33</v>
      </c>
      <c r="F4">
        <v>1000000</v>
      </c>
      <c r="G4">
        <v>745</v>
      </c>
      <c r="H4">
        <v>19647004078</v>
      </c>
      <c r="I4">
        <v>1489</v>
      </c>
      <c r="K4">
        <v>1000000</v>
      </c>
      <c r="L4">
        <v>732</v>
      </c>
      <c r="M4">
        <v>39177008118</v>
      </c>
      <c r="N4">
        <v>2880</v>
      </c>
      <c r="P4">
        <v>1000000</v>
      </c>
      <c r="Q4">
        <v>719</v>
      </c>
      <c r="R4">
        <v>58707012158</v>
      </c>
      <c r="S4">
        <v>4254</v>
      </c>
      <c r="U4">
        <v>1000000</v>
      </c>
      <c r="V4">
        <v>732</v>
      </c>
      <c r="W4">
        <v>78237016198</v>
      </c>
      <c r="X4">
        <v>5670</v>
      </c>
      <c r="Z4">
        <v>1000000</v>
      </c>
      <c r="AA4">
        <f t="shared" si="0"/>
        <v>668.6</v>
      </c>
      <c r="AB4">
        <f t="shared" si="1"/>
        <v>39177008118</v>
      </c>
      <c r="AC4">
        <f t="shared" si="2"/>
        <v>2865.2</v>
      </c>
    </row>
    <row r="5" spans="1:29" x14ac:dyDescent="0.25">
      <c r="A5">
        <v>1500000</v>
      </c>
      <c r="B5">
        <v>607</v>
      </c>
      <c r="C5">
        <v>234000057</v>
      </c>
      <c r="D5">
        <v>46</v>
      </c>
      <c r="F5">
        <v>1500000</v>
      </c>
      <c r="G5">
        <v>1131</v>
      </c>
      <c r="H5">
        <v>19764004097</v>
      </c>
      <c r="I5">
        <v>1497</v>
      </c>
      <c r="K5">
        <v>1500000</v>
      </c>
      <c r="L5">
        <v>1108</v>
      </c>
      <c r="M5">
        <v>39294008137</v>
      </c>
      <c r="N5">
        <v>2899</v>
      </c>
      <c r="P5">
        <v>1500000</v>
      </c>
      <c r="Q5">
        <v>1086</v>
      </c>
      <c r="R5">
        <v>58824012177</v>
      </c>
      <c r="S5">
        <v>4273</v>
      </c>
      <c r="U5">
        <v>1500000</v>
      </c>
      <c r="V5">
        <v>1096</v>
      </c>
      <c r="W5">
        <v>78354016217</v>
      </c>
      <c r="X5">
        <v>5686</v>
      </c>
      <c r="Z5">
        <v>1500000</v>
      </c>
      <c r="AA5">
        <f t="shared" si="0"/>
        <v>1005.6</v>
      </c>
      <c r="AB5">
        <f t="shared" si="1"/>
        <v>39294008137</v>
      </c>
      <c r="AC5">
        <f t="shared" si="2"/>
        <v>2880.2</v>
      </c>
    </row>
    <row r="6" spans="1:29" x14ac:dyDescent="0.25">
      <c r="A6">
        <v>2000000</v>
      </c>
      <c r="B6">
        <v>818</v>
      </c>
      <c r="C6">
        <v>390000076</v>
      </c>
      <c r="D6">
        <v>60</v>
      </c>
      <c r="F6">
        <v>2000000</v>
      </c>
      <c r="G6">
        <v>1444</v>
      </c>
      <c r="H6">
        <v>19920004116</v>
      </c>
      <c r="I6">
        <v>1509</v>
      </c>
      <c r="K6">
        <v>2000000</v>
      </c>
      <c r="L6">
        <v>1467</v>
      </c>
      <c r="M6">
        <v>39450008156</v>
      </c>
      <c r="N6">
        <v>2916</v>
      </c>
      <c r="P6">
        <v>2000000</v>
      </c>
      <c r="Q6">
        <v>1440</v>
      </c>
      <c r="R6">
        <v>58980012196</v>
      </c>
      <c r="S6">
        <v>4288</v>
      </c>
      <c r="U6">
        <v>2000000</v>
      </c>
      <c r="V6">
        <v>1441</v>
      </c>
      <c r="W6">
        <v>78510016236</v>
      </c>
      <c r="X6">
        <v>5704</v>
      </c>
      <c r="Z6">
        <v>2000000</v>
      </c>
      <c r="AA6">
        <f t="shared" si="0"/>
        <v>1322</v>
      </c>
      <c r="AB6">
        <f t="shared" si="1"/>
        <v>39450008156</v>
      </c>
      <c r="AC6">
        <f t="shared" si="2"/>
        <v>2895.4</v>
      </c>
    </row>
    <row r="7" spans="1:29" x14ac:dyDescent="0.25">
      <c r="A7">
        <v>2500000</v>
      </c>
      <c r="B7">
        <v>1060</v>
      </c>
      <c r="C7">
        <v>585000095</v>
      </c>
      <c r="D7">
        <v>76</v>
      </c>
      <c r="F7">
        <v>2500000</v>
      </c>
      <c r="G7">
        <v>1835</v>
      </c>
      <c r="H7">
        <v>20115004135</v>
      </c>
      <c r="I7">
        <v>1524</v>
      </c>
      <c r="K7">
        <v>2500000</v>
      </c>
      <c r="L7">
        <v>1827</v>
      </c>
      <c r="M7">
        <v>39645008175</v>
      </c>
      <c r="N7">
        <v>2927</v>
      </c>
      <c r="P7">
        <v>2500000</v>
      </c>
      <c r="Q7">
        <v>1817</v>
      </c>
      <c r="R7">
        <v>59175012215</v>
      </c>
      <c r="S7">
        <v>4299</v>
      </c>
      <c r="U7">
        <v>2500000</v>
      </c>
      <c r="V7">
        <v>1802</v>
      </c>
      <c r="W7">
        <v>78705016255</v>
      </c>
      <c r="X7">
        <v>5716</v>
      </c>
      <c r="Z7">
        <v>2500000</v>
      </c>
      <c r="AA7">
        <f t="shared" si="0"/>
        <v>1668.2</v>
      </c>
      <c r="AB7">
        <f t="shared" si="1"/>
        <v>39645008175</v>
      </c>
      <c r="AC7">
        <f t="shared" si="2"/>
        <v>2908.4</v>
      </c>
    </row>
    <row r="8" spans="1:29" x14ac:dyDescent="0.25">
      <c r="A8">
        <v>3000000</v>
      </c>
      <c r="B8">
        <v>2159</v>
      </c>
      <c r="C8">
        <v>819000114</v>
      </c>
      <c r="D8">
        <v>82</v>
      </c>
      <c r="F8">
        <v>3000000</v>
      </c>
      <c r="G8">
        <v>2179</v>
      </c>
      <c r="H8">
        <v>20349004154</v>
      </c>
      <c r="I8">
        <v>1539</v>
      </c>
      <c r="K8">
        <v>3000000</v>
      </c>
      <c r="L8">
        <v>2150</v>
      </c>
      <c r="M8">
        <v>39879008194</v>
      </c>
      <c r="N8">
        <v>2943</v>
      </c>
      <c r="P8">
        <v>3000000</v>
      </c>
      <c r="Q8">
        <v>2208</v>
      </c>
      <c r="R8">
        <v>59409012234</v>
      </c>
      <c r="S8">
        <v>4319</v>
      </c>
      <c r="U8">
        <v>3000000</v>
      </c>
      <c r="V8">
        <v>2173</v>
      </c>
      <c r="W8">
        <v>78939016274</v>
      </c>
      <c r="X8">
        <v>5729</v>
      </c>
      <c r="Z8">
        <v>3000000</v>
      </c>
      <c r="AA8">
        <f t="shared" si="0"/>
        <v>2173.8000000000002</v>
      </c>
      <c r="AB8">
        <f t="shared" si="1"/>
        <v>39879008194</v>
      </c>
      <c r="AC8">
        <f t="shared" si="2"/>
        <v>2922.4</v>
      </c>
    </row>
    <row r="9" spans="1:29" x14ac:dyDescent="0.25">
      <c r="A9">
        <v>3500000</v>
      </c>
      <c r="B9">
        <v>2350</v>
      </c>
      <c r="C9">
        <v>1092000133</v>
      </c>
      <c r="D9">
        <v>94</v>
      </c>
      <c r="F9">
        <v>3500000</v>
      </c>
      <c r="G9">
        <v>2548</v>
      </c>
      <c r="H9">
        <v>20622004173</v>
      </c>
      <c r="I9">
        <v>1552</v>
      </c>
      <c r="K9">
        <v>3500000</v>
      </c>
      <c r="L9">
        <v>2514</v>
      </c>
      <c r="M9">
        <v>40152008213</v>
      </c>
      <c r="N9">
        <v>2964</v>
      </c>
      <c r="P9">
        <v>3500000</v>
      </c>
      <c r="Q9">
        <v>2530</v>
      </c>
      <c r="R9">
        <v>59682012253</v>
      </c>
      <c r="S9">
        <v>4332</v>
      </c>
      <c r="U9">
        <v>3500000</v>
      </c>
      <c r="V9">
        <v>2558</v>
      </c>
      <c r="W9">
        <v>79212016293</v>
      </c>
      <c r="X9">
        <v>5745</v>
      </c>
      <c r="Z9">
        <v>3500000</v>
      </c>
      <c r="AA9">
        <f t="shared" si="0"/>
        <v>2500</v>
      </c>
      <c r="AB9">
        <f t="shared" si="1"/>
        <v>40152008213</v>
      </c>
      <c r="AC9">
        <f t="shared" si="2"/>
        <v>2937.4</v>
      </c>
    </row>
    <row r="10" spans="1:29" x14ac:dyDescent="0.25">
      <c r="A10">
        <v>4000000</v>
      </c>
      <c r="B10">
        <v>2864</v>
      </c>
      <c r="C10">
        <v>1404000152</v>
      </c>
      <c r="D10">
        <v>109</v>
      </c>
      <c r="F10">
        <v>4000000</v>
      </c>
      <c r="G10">
        <v>2943</v>
      </c>
      <c r="H10">
        <v>20934004192</v>
      </c>
      <c r="I10">
        <v>1568</v>
      </c>
      <c r="K10">
        <v>4000000</v>
      </c>
      <c r="L10">
        <v>2886</v>
      </c>
      <c r="M10">
        <v>40464008232</v>
      </c>
      <c r="N10">
        <v>2979</v>
      </c>
      <c r="P10">
        <v>4000000</v>
      </c>
      <c r="Q10">
        <v>2928</v>
      </c>
      <c r="R10">
        <v>59994012272</v>
      </c>
      <c r="S10">
        <v>4342</v>
      </c>
      <c r="U10">
        <v>4000000</v>
      </c>
      <c r="V10">
        <v>2863</v>
      </c>
      <c r="W10">
        <v>79524016312</v>
      </c>
      <c r="X10">
        <v>5759</v>
      </c>
      <c r="Z10">
        <v>4000000</v>
      </c>
      <c r="AA10">
        <f t="shared" si="0"/>
        <v>2896.8</v>
      </c>
      <c r="AB10">
        <f t="shared" si="1"/>
        <v>40464008232</v>
      </c>
      <c r="AC10">
        <f t="shared" si="2"/>
        <v>2951.4</v>
      </c>
    </row>
    <row r="11" spans="1:29" x14ac:dyDescent="0.25">
      <c r="A11">
        <v>4500000</v>
      </c>
      <c r="B11">
        <v>3251</v>
      </c>
      <c r="C11">
        <v>1755000171</v>
      </c>
      <c r="D11">
        <v>127</v>
      </c>
      <c r="F11">
        <v>4500000</v>
      </c>
      <c r="G11">
        <v>3313</v>
      </c>
      <c r="H11">
        <v>21285004211</v>
      </c>
      <c r="I11">
        <v>1576</v>
      </c>
      <c r="K11">
        <v>4500000</v>
      </c>
      <c r="L11">
        <v>3221</v>
      </c>
      <c r="M11">
        <v>40815008251</v>
      </c>
      <c r="N11">
        <v>2993</v>
      </c>
      <c r="P11">
        <v>4500000</v>
      </c>
      <c r="Q11">
        <v>3275</v>
      </c>
      <c r="R11">
        <v>60345012291</v>
      </c>
      <c r="S11">
        <v>4358</v>
      </c>
      <c r="U11">
        <v>4500000</v>
      </c>
      <c r="V11">
        <v>3044</v>
      </c>
      <c r="W11">
        <v>79875016331</v>
      </c>
      <c r="X11">
        <v>5772</v>
      </c>
      <c r="Z11">
        <v>4500000</v>
      </c>
      <c r="AA11">
        <f t="shared" si="0"/>
        <v>3220.8</v>
      </c>
      <c r="AB11">
        <f t="shared" si="1"/>
        <v>40815008251</v>
      </c>
      <c r="AC11">
        <f t="shared" si="2"/>
        <v>2965.2</v>
      </c>
    </row>
    <row r="12" spans="1:29" x14ac:dyDescent="0.25">
      <c r="A12">
        <v>5000000</v>
      </c>
      <c r="B12">
        <v>3594</v>
      </c>
      <c r="C12">
        <v>2145000190</v>
      </c>
      <c r="D12">
        <v>138</v>
      </c>
      <c r="F12">
        <v>5000000</v>
      </c>
      <c r="G12">
        <v>3558</v>
      </c>
      <c r="H12">
        <v>21675004230</v>
      </c>
      <c r="I12">
        <v>1584</v>
      </c>
      <c r="K12">
        <v>5000000</v>
      </c>
      <c r="L12">
        <v>3644</v>
      </c>
      <c r="M12">
        <v>41205008270</v>
      </c>
      <c r="N12">
        <v>3009</v>
      </c>
      <c r="P12">
        <v>5000000</v>
      </c>
      <c r="Q12">
        <v>3662</v>
      </c>
      <c r="R12">
        <v>60735012310</v>
      </c>
      <c r="S12">
        <v>4375</v>
      </c>
      <c r="U12">
        <v>5000000</v>
      </c>
      <c r="V12">
        <v>3606</v>
      </c>
      <c r="W12">
        <v>80265016350</v>
      </c>
      <c r="X12">
        <v>5786</v>
      </c>
      <c r="Z12">
        <v>5000000</v>
      </c>
      <c r="AA12">
        <f t="shared" si="0"/>
        <v>3612.8</v>
      </c>
      <c r="AB12">
        <f t="shared" si="1"/>
        <v>41205008270</v>
      </c>
      <c r="AC12">
        <f t="shared" si="2"/>
        <v>2978.4</v>
      </c>
    </row>
    <row r="13" spans="1:29" x14ac:dyDescent="0.25">
      <c r="A13">
        <v>5500000</v>
      </c>
      <c r="B13">
        <v>3976</v>
      </c>
      <c r="C13">
        <v>2574000209</v>
      </c>
      <c r="D13">
        <v>157</v>
      </c>
      <c r="F13">
        <v>5500000</v>
      </c>
      <c r="G13">
        <v>4029</v>
      </c>
      <c r="H13">
        <v>22104004249</v>
      </c>
      <c r="I13">
        <v>1593</v>
      </c>
      <c r="K13">
        <v>5500000</v>
      </c>
      <c r="L13">
        <v>3991</v>
      </c>
      <c r="M13">
        <v>41634008289</v>
      </c>
      <c r="N13">
        <v>3023</v>
      </c>
      <c r="P13">
        <v>5500000</v>
      </c>
      <c r="Q13">
        <v>3964</v>
      </c>
      <c r="R13">
        <v>61164012329</v>
      </c>
      <c r="S13">
        <v>4389</v>
      </c>
      <c r="U13">
        <v>5500000</v>
      </c>
      <c r="V13">
        <v>4003</v>
      </c>
      <c r="W13">
        <v>80694016369</v>
      </c>
      <c r="X13">
        <v>5797</v>
      </c>
      <c r="Z13">
        <v>5500000</v>
      </c>
      <c r="AA13">
        <f t="shared" si="0"/>
        <v>3992.6</v>
      </c>
      <c r="AB13">
        <f t="shared" si="1"/>
        <v>41634008289</v>
      </c>
      <c r="AC13">
        <f t="shared" si="2"/>
        <v>2991.8</v>
      </c>
    </row>
    <row r="14" spans="1:29" x14ac:dyDescent="0.25">
      <c r="A14">
        <v>6000000</v>
      </c>
      <c r="B14">
        <v>4346</v>
      </c>
      <c r="C14">
        <v>3042000228</v>
      </c>
      <c r="D14">
        <v>164</v>
      </c>
      <c r="F14">
        <v>6000000</v>
      </c>
      <c r="G14">
        <v>4356</v>
      </c>
      <c r="H14">
        <v>22572004268</v>
      </c>
      <c r="I14">
        <v>1609</v>
      </c>
      <c r="K14">
        <v>6000000</v>
      </c>
      <c r="L14">
        <v>4362</v>
      </c>
      <c r="M14">
        <v>42102008308</v>
      </c>
      <c r="N14">
        <v>3036</v>
      </c>
      <c r="P14">
        <v>6000000</v>
      </c>
      <c r="Q14">
        <v>4366</v>
      </c>
      <c r="R14">
        <v>61632012348</v>
      </c>
      <c r="S14">
        <v>4407</v>
      </c>
      <c r="U14">
        <v>6000000</v>
      </c>
      <c r="V14">
        <v>4308</v>
      </c>
      <c r="W14">
        <v>81162016388</v>
      </c>
      <c r="X14">
        <v>5817</v>
      </c>
      <c r="Z14">
        <v>6000000</v>
      </c>
      <c r="AA14">
        <f t="shared" si="0"/>
        <v>4347.6000000000004</v>
      </c>
      <c r="AB14">
        <f t="shared" si="1"/>
        <v>42102008308</v>
      </c>
      <c r="AC14">
        <f t="shared" si="2"/>
        <v>3006.6</v>
      </c>
    </row>
    <row r="15" spans="1:29" x14ac:dyDescent="0.25">
      <c r="A15">
        <v>6500000</v>
      </c>
      <c r="B15">
        <v>4725</v>
      </c>
      <c r="C15">
        <v>3549000247</v>
      </c>
      <c r="D15">
        <v>181</v>
      </c>
      <c r="F15">
        <v>6500000</v>
      </c>
      <c r="G15">
        <v>4730</v>
      </c>
      <c r="H15">
        <v>23079004287</v>
      </c>
      <c r="I15">
        <v>1629</v>
      </c>
      <c r="K15">
        <v>6500000</v>
      </c>
      <c r="L15">
        <v>4630</v>
      </c>
      <c r="M15">
        <v>42609008327</v>
      </c>
      <c r="N15">
        <v>3044</v>
      </c>
      <c r="P15">
        <v>6500000</v>
      </c>
      <c r="Q15">
        <v>4690</v>
      </c>
      <c r="R15">
        <v>62139012367</v>
      </c>
      <c r="S15">
        <v>4419</v>
      </c>
      <c r="U15">
        <v>6500000</v>
      </c>
      <c r="V15">
        <v>4643</v>
      </c>
      <c r="W15">
        <v>81669016407</v>
      </c>
      <c r="X15">
        <v>5830</v>
      </c>
      <c r="Z15">
        <v>6500000</v>
      </c>
      <c r="AA15">
        <f t="shared" si="0"/>
        <v>4683.6000000000004</v>
      </c>
      <c r="AB15">
        <f t="shared" si="1"/>
        <v>42609008327</v>
      </c>
      <c r="AC15">
        <f t="shared" si="2"/>
        <v>3020.6</v>
      </c>
    </row>
    <row r="16" spans="1:29" x14ac:dyDescent="0.25">
      <c r="A16">
        <v>7000000</v>
      </c>
      <c r="B16">
        <v>5077</v>
      </c>
      <c r="C16">
        <v>4095000266</v>
      </c>
      <c r="D16">
        <v>193</v>
      </c>
      <c r="F16">
        <v>7000000</v>
      </c>
      <c r="G16">
        <v>5165</v>
      </c>
      <c r="H16">
        <v>23625004306</v>
      </c>
      <c r="I16">
        <v>1640</v>
      </c>
      <c r="K16">
        <v>7000000</v>
      </c>
      <c r="L16">
        <v>5136</v>
      </c>
      <c r="M16">
        <v>43155008346</v>
      </c>
      <c r="N16">
        <v>3056</v>
      </c>
      <c r="P16">
        <v>7000000</v>
      </c>
      <c r="Q16">
        <v>5097</v>
      </c>
      <c r="R16">
        <v>62685012386</v>
      </c>
      <c r="S16">
        <v>4436</v>
      </c>
      <c r="U16">
        <v>7000000</v>
      </c>
      <c r="V16">
        <v>5015</v>
      </c>
      <c r="W16">
        <v>82215016426</v>
      </c>
      <c r="X16">
        <v>5842</v>
      </c>
      <c r="Z16">
        <v>7000000</v>
      </c>
      <c r="AA16">
        <f t="shared" si="0"/>
        <v>5098</v>
      </c>
      <c r="AB16">
        <f t="shared" si="1"/>
        <v>43155008346</v>
      </c>
      <c r="AC16">
        <f t="shared" si="2"/>
        <v>3033.4</v>
      </c>
    </row>
    <row r="17" spans="1:29" x14ac:dyDescent="0.25">
      <c r="A17">
        <v>7500000</v>
      </c>
      <c r="B17">
        <v>5462</v>
      </c>
      <c r="C17">
        <v>4680000285</v>
      </c>
      <c r="D17">
        <v>203</v>
      </c>
      <c r="F17">
        <v>7500000</v>
      </c>
      <c r="G17">
        <v>5427</v>
      </c>
      <c r="H17">
        <v>24210004325</v>
      </c>
      <c r="I17">
        <v>1658</v>
      </c>
      <c r="K17">
        <v>7500000</v>
      </c>
      <c r="L17">
        <v>5544</v>
      </c>
      <c r="M17">
        <v>43740008365</v>
      </c>
      <c r="N17">
        <v>3072</v>
      </c>
      <c r="P17">
        <v>7500000</v>
      </c>
      <c r="Q17">
        <v>5473</v>
      </c>
      <c r="R17">
        <v>63270012405</v>
      </c>
      <c r="S17">
        <v>4446</v>
      </c>
      <c r="U17">
        <v>7500000</v>
      </c>
      <c r="V17">
        <v>5435</v>
      </c>
      <c r="W17">
        <v>82800016445</v>
      </c>
      <c r="X17">
        <v>5862</v>
      </c>
      <c r="Z17">
        <v>7500000</v>
      </c>
      <c r="AA17">
        <f t="shared" si="0"/>
        <v>5468.2</v>
      </c>
      <c r="AB17">
        <f t="shared" si="1"/>
        <v>43740008365</v>
      </c>
      <c r="AC17">
        <f t="shared" si="2"/>
        <v>3048.2</v>
      </c>
    </row>
    <row r="18" spans="1:29" x14ac:dyDescent="0.25">
      <c r="A18">
        <v>8000000</v>
      </c>
      <c r="B18">
        <v>5746</v>
      </c>
      <c r="C18">
        <v>5304000304</v>
      </c>
      <c r="D18">
        <v>224</v>
      </c>
      <c r="F18">
        <v>8000000</v>
      </c>
      <c r="G18">
        <v>5813</v>
      </c>
      <c r="H18">
        <v>24834004344</v>
      </c>
      <c r="I18">
        <v>1679</v>
      </c>
      <c r="K18">
        <v>8000000</v>
      </c>
      <c r="L18">
        <v>5839</v>
      </c>
      <c r="M18">
        <v>44364008384</v>
      </c>
      <c r="N18">
        <v>3088</v>
      </c>
      <c r="P18">
        <v>8000000</v>
      </c>
      <c r="Q18">
        <v>5793</v>
      </c>
      <c r="R18">
        <v>63894012424</v>
      </c>
      <c r="S18">
        <v>4461</v>
      </c>
      <c r="U18">
        <v>8000000</v>
      </c>
      <c r="V18">
        <v>5786</v>
      </c>
      <c r="W18">
        <v>83424016464</v>
      </c>
      <c r="X18">
        <v>5888</v>
      </c>
      <c r="Z18">
        <v>8000000</v>
      </c>
      <c r="AA18">
        <f t="shared" si="0"/>
        <v>5795.4</v>
      </c>
      <c r="AB18">
        <f t="shared" si="1"/>
        <v>44364008384</v>
      </c>
      <c r="AC18">
        <f t="shared" si="2"/>
        <v>3068</v>
      </c>
    </row>
    <row r="19" spans="1:29" x14ac:dyDescent="0.25">
      <c r="A19">
        <v>8500000</v>
      </c>
      <c r="B19">
        <v>6169</v>
      </c>
      <c r="C19">
        <v>5967000323</v>
      </c>
      <c r="D19">
        <v>237</v>
      </c>
      <c r="F19">
        <v>8500000</v>
      </c>
      <c r="G19">
        <v>6267</v>
      </c>
      <c r="H19">
        <v>25497004363</v>
      </c>
      <c r="I19">
        <v>1692</v>
      </c>
      <c r="K19">
        <v>8500000</v>
      </c>
      <c r="L19">
        <v>6295</v>
      </c>
      <c r="M19">
        <v>45027008403</v>
      </c>
      <c r="N19">
        <v>3106</v>
      </c>
      <c r="P19">
        <v>8500000</v>
      </c>
      <c r="Q19">
        <v>6212</v>
      </c>
      <c r="R19">
        <v>64557012443</v>
      </c>
      <c r="S19">
        <v>4485</v>
      </c>
      <c r="U19">
        <v>8500000</v>
      </c>
      <c r="V19">
        <v>6169</v>
      </c>
      <c r="W19">
        <v>84087016483</v>
      </c>
      <c r="X19">
        <v>5905</v>
      </c>
      <c r="Z19">
        <v>8500000</v>
      </c>
      <c r="AA19">
        <f t="shared" si="0"/>
        <v>6222.4</v>
      </c>
      <c r="AB19">
        <f t="shared" si="1"/>
        <v>45027008403</v>
      </c>
      <c r="AC19">
        <f t="shared" si="2"/>
        <v>3085</v>
      </c>
    </row>
    <row r="20" spans="1:29" x14ac:dyDescent="0.25">
      <c r="A20">
        <v>9000000</v>
      </c>
      <c r="B20">
        <v>6509</v>
      </c>
      <c r="C20">
        <v>6669000342</v>
      </c>
      <c r="D20">
        <v>248</v>
      </c>
      <c r="F20">
        <v>9000000</v>
      </c>
      <c r="G20">
        <v>6398</v>
      </c>
      <c r="H20">
        <v>26199004382</v>
      </c>
      <c r="I20">
        <v>1701</v>
      </c>
      <c r="K20">
        <v>9000000</v>
      </c>
      <c r="L20">
        <v>6482</v>
      </c>
      <c r="M20">
        <v>45729008422</v>
      </c>
      <c r="N20">
        <v>3122</v>
      </c>
      <c r="P20">
        <v>9000000</v>
      </c>
      <c r="Q20">
        <v>6447</v>
      </c>
      <c r="R20">
        <v>65259012462</v>
      </c>
      <c r="S20">
        <v>4496</v>
      </c>
      <c r="U20">
        <v>9000000</v>
      </c>
      <c r="V20">
        <v>6527</v>
      </c>
      <c r="W20">
        <v>84789016502</v>
      </c>
      <c r="X20">
        <v>5924</v>
      </c>
      <c r="Z20">
        <v>9000000</v>
      </c>
      <c r="AA20">
        <f t="shared" si="0"/>
        <v>6472.6</v>
      </c>
      <c r="AB20">
        <f t="shared" si="1"/>
        <v>45729008422</v>
      </c>
      <c r="AC20">
        <f t="shared" si="2"/>
        <v>3098.2</v>
      </c>
    </row>
    <row r="21" spans="1:29" x14ac:dyDescent="0.25">
      <c r="A21">
        <v>9500000</v>
      </c>
      <c r="B21">
        <v>6741</v>
      </c>
      <c r="C21">
        <v>7410000361</v>
      </c>
      <c r="D21">
        <v>262</v>
      </c>
      <c r="F21">
        <v>9500000</v>
      </c>
      <c r="G21">
        <v>6760</v>
      </c>
      <c r="H21">
        <v>26940004401</v>
      </c>
      <c r="I21">
        <v>1725</v>
      </c>
      <c r="K21">
        <v>9500000</v>
      </c>
      <c r="L21">
        <v>6895</v>
      </c>
      <c r="M21">
        <v>46470008441</v>
      </c>
      <c r="N21">
        <v>3131</v>
      </c>
      <c r="P21">
        <v>9500000</v>
      </c>
      <c r="Q21">
        <v>6782</v>
      </c>
      <c r="R21">
        <v>66000012481</v>
      </c>
      <c r="S21">
        <v>4505</v>
      </c>
      <c r="U21">
        <v>9500000</v>
      </c>
      <c r="V21">
        <v>6883</v>
      </c>
      <c r="W21">
        <v>85530016521</v>
      </c>
      <c r="X21">
        <v>5938</v>
      </c>
      <c r="Z21">
        <v>9500000</v>
      </c>
      <c r="AA21">
        <f t="shared" si="0"/>
        <v>6812.2</v>
      </c>
      <c r="AB21">
        <f t="shared" si="1"/>
        <v>46470008441</v>
      </c>
      <c r="AC21">
        <f t="shared" si="2"/>
        <v>3112.2</v>
      </c>
    </row>
    <row r="22" spans="1:29" x14ac:dyDescent="0.25">
      <c r="A22">
        <v>10000000</v>
      </c>
      <c r="B22">
        <v>7215</v>
      </c>
      <c r="C22">
        <v>8190000380</v>
      </c>
      <c r="D22">
        <v>280</v>
      </c>
      <c r="F22">
        <v>10000000</v>
      </c>
      <c r="G22">
        <v>7193</v>
      </c>
      <c r="H22">
        <v>27720004420</v>
      </c>
      <c r="I22">
        <v>1737</v>
      </c>
      <c r="K22">
        <v>10000000</v>
      </c>
      <c r="L22">
        <v>7292</v>
      </c>
      <c r="M22">
        <v>47250008460</v>
      </c>
      <c r="N22">
        <v>3143</v>
      </c>
      <c r="P22">
        <v>10000000</v>
      </c>
      <c r="Q22">
        <v>7125</v>
      </c>
      <c r="R22">
        <v>66780012500</v>
      </c>
      <c r="S22">
        <v>4523</v>
      </c>
      <c r="U22">
        <v>10000000</v>
      </c>
      <c r="V22">
        <v>7239</v>
      </c>
      <c r="W22">
        <v>86310016540</v>
      </c>
      <c r="X22">
        <v>5950</v>
      </c>
      <c r="Z22">
        <v>10000000</v>
      </c>
      <c r="AA22">
        <f t="shared" si="0"/>
        <v>7212.8</v>
      </c>
      <c r="AB22">
        <f t="shared" si="1"/>
        <v>47250008460</v>
      </c>
      <c r="AC22">
        <f t="shared" si="2"/>
        <v>3126.6</v>
      </c>
    </row>
    <row r="25" spans="1:29" x14ac:dyDescent="0.25">
      <c r="A25" s="3" t="s">
        <v>36</v>
      </c>
      <c r="B25" s="3"/>
      <c r="C25" s="3"/>
      <c r="D25" s="3"/>
      <c r="F25" s="3" t="s">
        <v>36</v>
      </c>
      <c r="G25" s="3"/>
      <c r="H25" s="3"/>
      <c r="I25" s="3"/>
      <c r="K25" s="3" t="s">
        <v>36</v>
      </c>
      <c r="L25" s="3"/>
      <c r="M25" s="3"/>
      <c r="N25" s="3"/>
      <c r="P25" s="3" t="s">
        <v>36</v>
      </c>
      <c r="Q25" s="3"/>
      <c r="R25" s="3"/>
      <c r="S25" s="3"/>
      <c r="U25" s="3" t="s">
        <v>36</v>
      </c>
      <c r="V25" s="3"/>
      <c r="W25" s="3"/>
      <c r="X25" s="3"/>
      <c r="Z25" s="3" t="s">
        <v>37</v>
      </c>
      <c r="AA25" s="3"/>
      <c r="AB25" s="3"/>
      <c r="AC25" s="3"/>
    </row>
    <row r="26" spans="1:29" x14ac:dyDescent="0.25">
      <c r="A26" t="s">
        <v>24</v>
      </c>
      <c r="B26" t="s">
        <v>25</v>
      </c>
      <c r="C26" t="s">
        <v>26</v>
      </c>
      <c r="D26" t="s">
        <v>27</v>
      </c>
      <c r="F26" t="s">
        <v>24</v>
      </c>
      <c r="G26" t="s">
        <v>25</v>
      </c>
      <c r="H26" t="s">
        <v>26</v>
      </c>
      <c r="I26" t="s">
        <v>27</v>
      </c>
      <c r="K26" t="s">
        <v>24</v>
      </c>
      <c r="L26" t="s">
        <v>25</v>
      </c>
      <c r="M26" t="s">
        <v>26</v>
      </c>
      <c r="N26" t="s">
        <v>27</v>
      </c>
      <c r="P26" t="s">
        <v>24</v>
      </c>
      <c r="Q26" t="s">
        <v>25</v>
      </c>
      <c r="R26" t="s">
        <v>26</v>
      </c>
      <c r="S26" t="s">
        <v>27</v>
      </c>
      <c r="U26" t="s">
        <v>24</v>
      </c>
      <c r="V26" t="s">
        <v>25</v>
      </c>
      <c r="W26" t="s">
        <v>26</v>
      </c>
      <c r="X26" t="s">
        <v>27</v>
      </c>
      <c r="Z26" t="s">
        <v>24</v>
      </c>
      <c r="AA26" t="s">
        <v>25</v>
      </c>
      <c r="AB26" t="s">
        <v>26</v>
      </c>
      <c r="AC26" t="s">
        <v>27</v>
      </c>
    </row>
    <row r="27" spans="1:29" x14ac:dyDescent="0.25">
      <c r="A27">
        <v>500000</v>
      </c>
      <c r="B27">
        <v>169</v>
      </c>
      <c r="C27">
        <v>8209000407</v>
      </c>
      <c r="D27">
        <v>290</v>
      </c>
      <c r="F27">
        <v>500000</v>
      </c>
      <c r="G27">
        <v>176</v>
      </c>
      <c r="H27">
        <v>27739004447</v>
      </c>
      <c r="I27">
        <v>1746</v>
      </c>
      <c r="K27">
        <v>500000</v>
      </c>
      <c r="L27">
        <v>177</v>
      </c>
      <c r="M27">
        <v>47269008487</v>
      </c>
      <c r="N27">
        <v>3160</v>
      </c>
      <c r="P27">
        <v>500000</v>
      </c>
      <c r="Q27">
        <v>171</v>
      </c>
      <c r="R27">
        <v>66799012527</v>
      </c>
      <c r="S27">
        <v>4534</v>
      </c>
      <c r="U27">
        <v>500000</v>
      </c>
      <c r="V27">
        <v>172</v>
      </c>
      <c r="W27">
        <v>86329016567</v>
      </c>
      <c r="X27">
        <v>5965</v>
      </c>
      <c r="Z27">
        <v>500000</v>
      </c>
      <c r="AA27">
        <f t="shared" ref="AA27:AA46" si="3">AVERAGE(B27,G27,L27,Q27,V27)</f>
        <v>173</v>
      </c>
      <c r="AB27">
        <f t="shared" ref="AB27:AB46" si="4">AVERAGE(C27,H27,M27,R27,W27)</f>
        <v>47269008487</v>
      </c>
      <c r="AC27">
        <f t="shared" ref="AC27:AC46" si="5">AVERAGE(D27,I27,N27,S27,X27)</f>
        <v>3139</v>
      </c>
    </row>
    <row r="28" spans="1:29" x14ac:dyDescent="0.25">
      <c r="A28">
        <v>1000000</v>
      </c>
      <c r="B28">
        <v>342</v>
      </c>
      <c r="C28">
        <v>8247000434</v>
      </c>
      <c r="D28">
        <v>306</v>
      </c>
      <c r="F28">
        <v>1000000</v>
      </c>
      <c r="G28">
        <v>356</v>
      </c>
      <c r="H28">
        <v>27777004474</v>
      </c>
      <c r="I28">
        <v>1761</v>
      </c>
      <c r="K28">
        <v>1000000</v>
      </c>
      <c r="L28">
        <v>356</v>
      </c>
      <c r="M28">
        <v>47307008514</v>
      </c>
      <c r="N28">
        <v>3168</v>
      </c>
      <c r="P28">
        <v>1000000</v>
      </c>
      <c r="Q28">
        <v>339</v>
      </c>
      <c r="R28">
        <v>66837012554</v>
      </c>
      <c r="S28">
        <v>4548</v>
      </c>
      <c r="U28">
        <v>1000000</v>
      </c>
      <c r="V28">
        <v>349</v>
      </c>
      <c r="W28">
        <v>86367016594</v>
      </c>
      <c r="X28">
        <v>5981</v>
      </c>
      <c r="Z28">
        <v>1000000</v>
      </c>
      <c r="AA28">
        <f t="shared" si="3"/>
        <v>348.4</v>
      </c>
      <c r="AB28">
        <f t="shared" si="4"/>
        <v>47307008514</v>
      </c>
      <c r="AC28">
        <f t="shared" si="5"/>
        <v>3152.8</v>
      </c>
    </row>
    <row r="29" spans="1:29" x14ac:dyDescent="0.25">
      <c r="A29">
        <v>1500000</v>
      </c>
      <c r="B29">
        <v>506</v>
      </c>
      <c r="C29">
        <v>8304000461</v>
      </c>
      <c r="D29">
        <v>322</v>
      </c>
      <c r="F29">
        <v>1500000</v>
      </c>
      <c r="G29">
        <v>516</v>
      </c>
      <c r="H29">
        <v>27834004501</v>
      </c>
      <c r="I29">
        <v>1778</v>
      </c>
      <c r="K29">
        <v>1500000</v>
      </c>
      <c r="L29">
        <v>533</v>
      </c>
      <c r="M29">
        <v>47364008541</v>
      </c>
      <c r="N29">
        <v>3182</v>
      </c>
      <c r="P29">
        <v>1500000</v>
      </c>
      <c r="Q29">
        <v>521</v>
      </c>
      <c r="R29">
        <v>66894012581</v>
      </c>
      <c r="S29">
        <v>4568</v>
      </c>
      <c r="U29">
        <v>1500000</v>
      </c>
      <c r="V29">
        <v>507</v>
      </c>
      <c r="W29">
        <v>86424016621</v>
      </c>
      <c r="X29">
        <v>5994</v>
      </c>
      <c r="Z29">
        <v>1500000</v>
      </c>
      <c r="AA29">
        <f t="shared" si="3"/>
        <v>516.6</v>
      </c>
      <c r="AB29">
        <f t="shared" si="4"/>
        <v>47364008541</v>
      </c>
      <c r="AC29">
        <f t="shared" si="5"/>
        <v>3168.8</v>
      </c>
    </row>
    <row r="30" spans="1:29" x14ac:dyDescent="0.25">
      <c r="A30">
        <v>2000000</v>
      </c>
      <c r="B30">
        <v>691</v>
      </c>
      <c r="C30">
        <v>8380000488</v>
      </c>
      <c r="D30">
        <v>339</v>
      </c>
      <c r="F30">
        <v>2000000</v>
      </c>
      <c r="G30">
        <v>692</v>
      </c>
      <c r="H30">
        <v>27910004528</v>
      </c>
      <c r="I30">
        <v>1788</v>
      </c>
      <c r="K30">
        <v>2000000</v>
      </c>
      <c r="L30">
        <v>701</v>
      </c>
      <c r="M30">
        <v>47440008568</v>
      </c>
      <c r="N30">
        <v>3199</v>
      </c>
      <c r="P30">
        <v>2000000</v>
      </c>
      <c r="Q30">
        <v>683</v>
      </c>
      <c r="R30">
        <v>66970012608</v>
      </c>
      <c r="S30">
        <v>4583</v>
      </c>
      <c r="U30">
        <v>2000000</v>
      </c>
      <c r="V30">
        <v>703</v>
      </c>
      <c r="W30">
        <v>86500016648</v>
      </c>
      <c r="X30">
        <v>6004</v>
      </c>
      <c r="Z30">
        <v>2000000</v>
      </c>
      <c r="AA30">
        <f t="shared" si="3"/>
        <v>694</v>
      </c>
      <c r="AB30">
        <f t="shared" si="4"/>
        <v>47440008568</v>
      </c>
      <c r="AC30">
        <f t="shared" si="5"/>
        <v>3182.6</v>
      </c>
    </row>
    <row r="31" spans="1:29" x14ac:dyDescent="0.25">
      <c r="A31">
        <v>2500000</v>
      </c>
      <c r="B31">
        <v>875</v>
      </c>
      <c r="C31">
        <v>8475000515</v>
      </c>
      <c r="D31">
        <v>351</v>
      </c>
      <c r="F31">
        <v>2500000</v>
      </c>
      <c r="G31">
        <v>875</v>
      </c>
      <c r="H31">
        <v>28005004555</v>
      </c>
      <c r="I31">
        <v>1803</v>
      </c>
      <c r="K31">
        <v>2500000</v>
      </c>
      <c r="L31">
        <v>894</v>
      </c>
      <c r="M31">
        <v>47535008595</v>
      </c>
      <c r="N31">
        <v>3207</v>
      </c>
      <c r="P31">
        <v>2500000</v>
      </c>
      <c r="Q31">
        <v>859</v>
      </c>
      <c r="R31">
        <v>67065012635</v>
      </c>
      <c r="S31">
        <v>4596</v>
      </c>
      <c r="U31">
        <v>2500000</v>
      </c>
      <c r="V31">
        <v>830</v>
      </c>
      <c r="W31">
        <v>86595016675</v>
      </c>
      <c r="X31">
        <v>6018</v>
      </c>
      <c r="Z31">
        <v>2500000</v>
      </c>
      <c r="AA31">
        <f t="shared" si="3"/>
        <v>866.6</v>
      </c>
      <c r="AB31">
        <f t="shared" si="4"/>
        <v>47535008595</v>
      </c>
      <c r="AC31">
        <f t="shared" si="5"/>
        <v>3195</v>
      </c>
    </row>
    <row r="32" spans="1:29" x14ac:dyDescent="0.25">
      <c r="A32">
        <v>3000000</v>
      </c>
      <c r="B32">
        <v>1042</v>
      </c>
      <c r="C32">
        <v>8589000542</v>
      </c>
      <c r="D32">
        <v>366</v>
      </c>
      <c r="F32">
        <v>3000000</v>
      </c>
      <c r="G32">
        <v>1032</v>
      </c>
      <c r="H32">
        <v>28119004582</v>
      </c>
      <c r="I32">
        <v>1813</v>
      </c>
      <c r="K32">
        <v>3000000</v>
      </c>
      <c r="L32">
        <v>1052</v>
      </c>
      <c r="M32">
        <v>47649008622</v>
      </c>
      <c r="N32">
        <v>3219</v>
      </c>
      <c r="P32">
        <v>3000000</v>
      </c>
      <c r="Q32">
        <v>1048</v>
      </c>
      <c r="R32">
        <v>67179012662</v>
      </c>
      <c r="S32">
        <v>4611</v>
      </c>
      <c r="U32">
        <v>3000000</v>
      </c>
      <c r="V32">
        <v>899</v>
      </c>
      <c r="W32">
        <v>86709016702</v>
      </c>
      <c r="X32">
        <v>6042</v>
      </c>
      <c r="Z32">
        <v>3000000</v>
      </c>
      <c r="AA32">
        <f t="shared" si="3"/>
        <v>1014.6</v>
      </c>
      <c r="AB32">
        <f t="shared" si="4"/>
        <v>47649008622</v>
      </c>
      <c r="AC32">
        <f t="shared" si="5"/>
        <v>3210.2</v>
      </c>
    </row>
    <row r="33" spans="1:29" x14ac:dyDescent="0.25">
      <c r="A33">
        <v>3500000</v>
      </c>
      <c r="B33">
        <v>1231</v>
      </c>
      <c r="C33">
        <v>8722000569</v>
      </c>
      <c r="D33">
        <v>380</v>
      </c>
      <c r="F33">
        <v>3500000</v>
      </c>
      <c r="G33">
        <v>1230</v>
      </c>
      <c r="H33">
        <v>28252004609</v>
      </c>
      <c r="I33">
        <v>1826</v>
      </c>
      <c r="K33">
        <v>3500000</v>
      </c>
      <c r="L33">
        <v>1198</v>
      </c>
      <c r="M33">
        <v>47782008649</v>
      </c>
      <c r="N33">
        <v>3233</v>
      </c>
      <c r="P33">
        <v>3500000</v>
      </c>
      <c r="Q33">
        <v>1211</v>
      </c>
      <c r="R33">
        <v>67312012689</v>
      </c>
      <c r="S33">
        <v>4622</v>
      </c>
      <c r="U33">
        <v>3500000</v>
      </c>
      <c r="V33">
        <v>1225</v>
      </c>
      <c r="W33">
        <v>86842016729</v>
      </c>
      <c r="X33">
        <v>6055</v>
      </c>
      <c r="Z33">
        <v>3500000</v>
      </c>
      <c r="AA33">
        <f t="shared" si="3"/>
        <v>1219</v>
      </c>
      <c r="AB33">
        <f t="shared" si="4"/>
        <v>47782008649</v>
      </c>
      <c r="AC33">
        <f t="shared" si="5"/>
        <v>3223.2</v>
      </c>
    </row>
    <row r="34" spans="1:29" x14ac:dyDescent="0.25">
      <c r="A34">
        <v>4000000</v>
      </c>
      <c r="B34">
        <v>1395</v>
      </c>
      <c r="C34">
        <v>8874000596</v>
      </c>
      <c r="D34">
        <v>398</v>
      </c>
      <c r="F34">
        <v>4000000</v>
      </c>
      <c r="G34">
        <v>1376</v>
      </c>
      <c r="H34">
        <v>28404004636</v>
      </c>
      <c r="I34">
        <v>1842</v>
      </c>
      <c r="K34">
        <v>4000000</v>
      </c>
      <c r="L34">
        <v>1409</v>
      </c>
      <c r="M34">
        <v>47934008676</v>
      </c>
      <c r="N34">
        <v>3253</v>
      </c>
      <c r="P34">
        <v>4000000</v>
      </c>
      <c r="Q34">
        <v>1383</v>
      </c>
      <c r="R34">
        <v>67464012716</v>
      </c>
      <c r="S34">
        <v>4642</v>
      </c>
      <c r="U34">
        <v>4000000</v>
      </c>
      <c r="V34">
        <v>1383</v>
      </c>
      <c r="W34">
        <v>86994016756</v>
      </c>
      <c r="X34">
        <v>6069</v>
      </c>
      <c r="Z34">
        <v>4000000</v>
      </c>
      <c r="AA34">
        <f t="shared" si="3"/>
        <v>1389.2</v>
      </c>
      <c r="AB34">
        <f t="shared" si="4"/>
        <v>47934008676</v>
      </c>
      <c r="AC34">
        <f t="shared" si="5"/>
        <v>3240.8</v>
      </c>
    </row>
    <row r="35" spans="1:29" x14ac:dyDescent="0.25">
      <c r="A35">
        <v>4500000</v>
      </c>
      <c r="B35">
        <v>1543</v>
      </c>
      <c r="C35">
        <v>9045000623</v>
      </c>
      <c r="D35">
        <v>416</v>
      </c>
      <c r="F35">
        <v>4500000</v>
      </c>
      <c r="G35">
        <v>1574</v>
      </c>
      <c r="H35">
        <v>28575004663</v>
      </c>
      <c r="I35">
        <v>1860</v>
      </c>
      <c r="K35">
        <v>4500000</v>
      </c>
      <c r="L35">
        <v>1595</v>
      </c>
      <c r="M35">
        <v>48105008703</v>
      </c>
      <c r="N35">
        <v>3270</v>
      </c>
      <c r="P35">
        <v>4500000</v>
      </c>
      <c r="Q35">
        <v>1570</v>
      </c>
      <c r="R35">
        <v>67635012743</v>
      </c>
      <c r="S35">
        <v>4654</v>
      </c>
      <c r="U35">
        <v>4500000</v>
      </c>
      <c r="V35">
        <v>1546</v>
      </c>
      <c r="W35">
        <v>87165016783</v>
      </c>
      <c r="X35">
        <v>6085</v>
      </c>
      <c r="Z35">
        <v>4500000</v>
      </c>
      <c r="AA35">
        <f t="shared" si="3"/>
        <v>1565.6</v>
      </c>
      <c r="AB35">
        <f t="shared" si="4"/>
        <v>48105008703</v>
      </c>
      <c r="AC35">
        <f t="shared" si="5"/>
        <v>3257</v>
      </c>
    </row>
    <row r="36" spans="1:29" x14ac:dyDescent="0.25">
      <c r="A36">
        <v>5000000</v>
      </c>
      <c r="B36">
        <v>1724</v>
      </c>
      <c r="C36">
        <v>9235000650</v>
      </c>
      <c r="D36">
        <v>434</v>
      </c>
      <c r="F36">
        <v>5000000</v>
      </c>
      <c r="G36">
        <v>1738</v>
      </c>
      <c r="H36">
        <v>28765004690</v>
      </c>
      <c r="I36">
        <v>1869</v>
      </c>
      <c r="K36">
        <v>5000000</v>
      </c>
      <c r="L36">
        <v>1753</v>
      </c>
      <c r="M36">
        <v>48295008730</v>
      </c>
      <c r="N36">
        <v>3285</v>
      </c>
      <c r="P36">
        <v>5000000</v>
      </c>
      <c r="Q36">
        <v>1713</v>
      </c>
      <c r="R36">
        <v>67825012770</v>
      </c>
      <c r="S36">
        <v>4665</v>
      </c>
      <c r="U36">
        <v>5000000</v>
      </c>
      <c r="V36">
        <v>1718</v>
      </c>
      <c r="W36">
        <v>87355016810</v>
      </c>
      <c r="X36">
        <v>6101</v>
      </c>
      <c r="Z36">
        <v>5000000</v>
      </c>
      <c r="AA36">
        <f t="shared" si="3"/>
        <v>1729.2</v>
      </c>
      <c r="AB36">
        <f t="shared" si="4"/>
        <v>48295008730</v>
      </c>
      <c r="AC36">
        <f t="shared" si="5"/>
        <v>3270.8</v>
      </c>
    </row>
    <row r="37" spans="1:29" x14ac:dyDescent="0.25">
      <c r="A37">
        <v>5500000</v>
      </c>
      <c r="B37">
        <v>1885</v>
      </c>
      <c r="C37">
        <v>9444000677</v>
      </c>
      <c r="D37">
        <v>449</v>
      </c>
      <c r="F37">
        <v>5500000</v>
      </c>
      <c r="G37">
        <v>1905</v>
      </c>
      <c r="H37">
        <v>28974004717</v>
      </c>
      <c r="I37">
        <v>1890</v>
      </c>
      <c r="K37">
        <v>5500000</v>
      </c>
      <c r="L37">
        <v>1900</v>
      </c>
      <c r="M37">
        <v>48504008757</v>
      </c>
      <c r="N37">
        <v>3299</v>
      </c>
      <c r="P37">
        <v>5500000</v>
      </c>
      <c r="Q37">
        <v>1919</v>
      </c>
      <c r="R37">
        <v>68034012797</v>
      </c>
      <c r="S37">
        <v>4681</v>
      </c>
      <c r="U37">
        <v>5500000</v>
      </c>
      <c r="V37">
        <v>1856</v>
      </c>
      <c r="W37">
        <v>87564016837</v>
      </c>
      <c r="X37">
        <v>6112</v>
      </c>
      <c r="Z37">
        <v>5500000</v>
      </c>
      <c r="AA37">
        <f t="shared" si="3"/>
        <v>1893</v>
      </c>
      <c r="AB37">
        <f t="shared" si="4"/>
        <v>48504008757</v>
      </c>
      <c r="AC37">
        <f t="shared" si="5"/>
        <v>3286.2</v>
      </c>
    </row>
    <row r="38" spans="1:29" x14ac:dyDescent="0.25">
      <c r="A38">
        <v>6000000</v>
      </c>
      <c r="B38">
        <v>2047</v>
      </c>
      <c r="C38">
        <v>9672000704</v>
      </c>
      <c r="D38">
        <v>466</v>
      </c>
      <c r="F38">
        <v>6000000</v>
      </c>
      <c r="G38">
        <v>2050</v>
      </c>
      <c r="H38">
        <v>29202004744</v>
      </c>
      <c r="I38">
        <v>1906</v>
      </c>
      <c r="K38">
        <v>6000000</v>
      </c>
      <c r="L38">
        <v>2101</v>
      </c>
      <c r="M38">
        <v>48732008784</v>
      </c>
      <c r="N38">
        <v>3317</v>
      </c>
      <c r="P38">
        <v>6000000</v>
      </c>
      <c r="Q38">
        <v>2103</v>
      </c>
      <c r="R38">
        <v>68262012824</v>
      </c>
      <c r="S38">
        <v>4700</v>
      </c>
      <c r="U38">
        <v>6000000</v>
      </c>
      <c r="V38">
        <v>2000</v>
      </c>
      <c r="W38">
        <v>87792016864</v>
      </c>
      <c r="X38">
        <v>6131</v>
      </c>
      <c r="Z38">
        <v>6000000</v>
      </c>
      <c r="AA38">
        <f t="shared" si="3"/>
        <v>2060.1999999999998</v>
      </c>
      <c r="AB38">
        <f t="shared" si="4"/>
        <v>48732008784</v>
      </c>
      <c r="AC38">
        <f t="shared" si="5"/>
        <v>3304</v>
      </c>
    </row>
    <row r="39" spans="1:29" x14ac:dyDescent="0.25">
      <c r="A39">
        <v>6500000</v>
      </c>
      <c r="B39">
        <v>2307</v>
      </c>
      <c r="C39">
        <v>9919000731</v>
      </c>
      <c r="D39">
        <v>479</v>
      </c>
      <c r="F39">
        <v>6500000</v>
      </c>
      <c r="G39">
        <v>2238</v>
      </c>
      <c r="H39">
        <v>29449004771</v>
      </c>
      <c r="I39">
        <v>1919</v>
      </c>
      <c r="K39">
        <v>6500000</v>
      </c>
      <c r="L39">
        <v>2271</v>
      </c>
      <c r="M39">
        <v>48979008811</v>
      </c>
      <c r="N39">
        <v>3330</v>
      </c>
      <c r="P39">
        <v>6500000</v>
      </c>
      <c r="Q39">
        <v>2315</v>
      </c>
      <c r="R39">
        <v>68509012851</v>
      </c>
      <c r="S39">
        <v>4712</v>
      </c>
      <c r="U39">
        <v>6500000</v>
      </c>
      <c r="V39">
        <v>2223</v>
      </c>
      <c r="W39">
        <v>88039016891</v>
      </c>
      <c r="X39">
        <v>6139</v>
      </c>
      <c r="Z39">
        <v>6500000</v>
      </c>
      <c r="AA39">
        <f t="shared" si="3"/>
        <v>2270.8000000000002</v>
      </c>
      <c r="AB39">
        <f t="shared" si="4"/>
        <v>48979008811</v>
      </c>
      <c r="AC39">
        <f t="shared" si="5"/>
        <v>3315.8</v>
      </c>
    </row>
    <row r="40" spans="1:29" x14ac:dyDescent="0.25">
      <c r="A40">
        <v>7000000</v>
      </c>
      <c r="B40">
        <v>2471</v>
      </c>
      <c r="C40">
        <v>10185000758</v>
      </c>
      <c r="D40">
        <v>486</v>
      </c>
      <c r="F40">
        <v>7000000</v>
      </c>
      <c r="G40">
        <v>2394</v>
      </c>
      <c r="H40">
        <v>29715004798</v>
      </c>
      <c r="I40">
        <v>1932</v>
      </c>
      <c r="K40">
        <v>7000000</v>
      </c>
      <c r="L40">
        <v>2432</v>
      </c>
      <c r="M40">
        <v>49245008838</v>
      </c>
      <c r="N40">
        <v>3343</v>
      </c>
      <c r="P40">
        <v>7000000</v>
      </c>
      <c r="Q40">
        <v>2471</v>
      </c>
      <c r="R40">
        <v>68775012878</v>
      </c>
      <c r="S40">
        <v>4722</v>
      </c>
      <c r="U40">
        <v>7000000</v>
      </c>
      <c r="V40">
        <v>2381</v>
      </c>
      <c r="W40">
        <v>88305016918</v>
      </c>
      <c r="X40">
        <v>6154</v>
      </c>
      <c r="Z40">
        <v>7000000</v>
      </c>
      <c r="AA40">
        <f t="shared" si="3"/>
        <v>2429.8000000000002</v>
      </c>
      <c r="AB40">
        <f t="shared" si="4"/>
        <v>49245008838</v>
      </c>
      <c r="AC40">
        <f t="shared" si="5"/>
        <v>3327.4</v>
      </c>
    </row>
    <row r="41" spans="1:29" x14ac:dyDescent="0.25">
      <c r="A41">
        <v>7500000</v>
      </c>
      <c r="B41">
        <v>2574</v>
      </c>
      <c r="C41">
        <v>10470000785</v>
      </c>
      <c r="D41">
        <v>497</v>
      </c>
      <c r="F41">
        <v>7500000</v>
      </c>
      <c r="G41">
        <v>2600</v>
      </c>
      <c r="H41">
        <v>30000004825</v>
      </c>
      <c r="I41">
        <v>1950</v>
      </c>
      <c r="K41">
        <v>7500000</v>
      </c>
      <c r="L41">
        <v>2642</v>
      </c>
      <c r="M41">
        <v>49530008865</v>
      </c>
      <c r="N41">
        <v>3354</v>
      </c>
      <c r="P41">
        <v>7500000</v>
      </c>
      <c r="Q41">
        <v>2618</v>
      </c>
      <c r="R41">
        <v>69060012905</v>
      </c>
      <c r="S41">
        <v>4735</v>
      </c>
      <c r="U41">
        <v>7500000</v>
      </c>
      <c r="V41">
        <v>2606</v>
      </c>
      <c r="W41">
        <v>88590016945</v>
      </c>
      <c r="X41">
        <v>6170</v>
      </c>
      <c r="Z41">
        <v>7500000</v>
      </c>
      <c r="AA41">
        <f t="shared" si="3"/>
        <v>2608</v>
      </c>
      <c r="AB41">
        <f t="shared" si="4"/>
        <v>49530008865</v>
      </c>
      <c r="AC41">
        <f t="shared" si="5"/>
        <v>3341.2</v>
      </c>
    </row>
    <row r="42" spans="1:29" x14ac:dyDescent="0.25">
      <c r="A42">
        <v>8000000</v>
      </c>
      <c r="B42">
        <v>2684</v>
      </c>
      <c r="C42">
        <v>10774000812</v>
      </c>
      <c r="D42">
        <v>508</v>
      </c>
      <c r="F42">
        <v>8000000</v>
      </c>
      <c r="G42">
        <v>2706</v>
      </c>
      <c r="H42">
        <v>30304004852</v>
      </c>
      <c r="I42">
        <v>1962</v>
      </c>
      <c r="K42">
        <v>8000000</v>
      </c>
      <c r="L42">
        <v>2778</v>
      </c>
      <c r="M42">
        <v>49834008892</v>
      </c>
      <c r="N42">
        <v>3366</v>
      </c>
      <c r="P42">
        <v>8000000</v>
      </c>
      <c r="Q42">
        <v>2801</v>
      </c>
      <c r="R42">
        <v>69364012932</v>
      </c>
      <c r="S42">
        <v>4749</v>
      </c>
      <c r="U42">
        <v>8000000</v>
      </c>
      <c r="V42">
        <v>2791</v>
      </c>
      <c r="W42">
        <v>88894016972</v>
      </c>
      <c r="X42">
        <v>6184</v>
      </c>
      <c r="Z42">
        <v>8000000</v>
      </c>
      <c r="AA42">
        <f t="shared" si="3"/>
        <v>2752</v>
      </c>
      <c r="AB42">
        <f t="shared" si="4"/>
        <v>49834008892</v>
      </c>
      <c r="AC42">
        <f t="shared" si="5"/>
        <v>3353.8</v>
      </c>
    </row>
    <row r="43" spans="1:29" x14ac:dyDescent="0.25">
      <c r="A43">
        <v>8500000</v>
      </c>
      <c r="B43">
        <v>2989</v>
      </c>
      <c r="C43">
        <v>11097000839</v>
      </c>
      <c r="D43">
        <v>518</v>
      </c>
      <c r="F43">
        <v>8500000</v>
      </c>
      <c r="G43">
        <v>2939</v>
      </c>
      <c r="H43">
        <v>30627004879</v>
      </c>
      <c r="I43">
        <v>1979</v>
      </c>
      <c r="K43">
        <v>8500000</v>
      </c>
      <c r="L43">
        <v>2916</v>
      </c>
      <c r="M43">
        <v>50157008919</v>
      </c>
      <c r="N43">
        <v>3376</v>
      </c>
      <c r="P43">
        <v>8500000</v>
      </c>
      <c r="Q43">
        <v>2989</v>
      </c>
      <c r="R43">
        <v>69687012959</v>
      </c>
      <c r="S43">
        <v>4759</v>
      </c>
      <c r="U43">
        <v>8500000</v>
      </c>
      <c r="V43">
        <v>3008</v>
      </c>
      <c r="W43">
        <v>89217016999</v>
      </c>
      <c r="X43">
        <v>6205</v>
      </c>
      <c r="Z43">
        <v>8500000</v>
      </c>
      <c r="AA43">
        <f t="shared" si="3"/>
        <v>2968.2</v>
      </c>
      <c r="AB43">
        <f t="shared" si="4"/>
        <v>50157008919</v>
      </c>
      <c r="AC43">
        <f t="shared" si="5"/>
        <v>3367.4</v>
      </c>
    </row>
    <row r="44" spans="1:29" x14ac:dyDescent="0.25">
      <c r="A44">
        <v>9000000</v>
      </c>
      <c r="B44">
        <v>3140</v>
      </c>
      <c r="C44">
        <v>11439000866</v>
      </c>
      <c r="D44">
        <v>539</v>
      </c>
      <c r="F44">
        <v>9000000</v>
      </c>
      <c r="G44">
        <v>3163</v>
      </c>
      <c r="H44">
        <v>30969004906</v>
      </c>
      <c r="I44">
        <v>1990</v>
      </c>
      <c r="K44">
        <v>9000000</v>
      </c>
      <c r="L44">
        <v>3119</v>
      </c>
      <c r="M44">
        <v>50499008946</v>
      </c>
      <c r="N44">
        <v>3388</v>
      </c>
      <c r="P44">
        <v>9000000</v>
      </c>
      <c r="Q44">
        <v>3148</v>
      </c>
      <c r="R44">
        <v>70029012986</v>
      </c>
      <c r="S44">
        <v>4768</v>
      </c>
      <c r="U44">
        <v>9000000</v>
      </c>
      <c r="V44">
        <v>3086</v>
      </c>
      <c r="W44">
        <v>89559017026</v>
      </c>
      <c r="X44">
        <v>6214</v>
      </c>
      <c r="Z44">
        <v>9000000</v>
      </c>
      <c r="AA44">
        <f t="shared" si="3"/>
        <v>3131.2</v>
      </c>
      <c r="AB44">
        <f t="shared" si="4"/>
        <v>50499008946</v>
      </c>
      <c r="AC44">
        <f t="shared" si="5"/>
        <v>3379.8</v>
      </c>
    </row>
    <row r="45" spans="1:29" x14ac:dyDescent="0.25">
      <c r="A45">
        <v>9500000</v>
      </c>
      <c r="B45">
        <v>3318</v>
      </c>
      <c r="C45">
        <v>11800000893</v>
      </c>
      <c r="D45">
        <v>552</v>
      </c>
      <c r="F45">
        <v>9500000</v>
      </c>
      <c r="G45">
        <v>3294</v>
      </c>
      <c r="H45">
        <v>31330004933</v>
      </c>
      <c r="I45">
        <v>2008</v>
      </c>
      <c r="K45">
        <v>9500000</v>
      </c>
      <c r="L45">
        <v>3285</v>
      </c>
      <c r="M45">
        <v>50860008973</v>
      </c>
      <c r="N45">
        <v>3398</v>
      </c>
      <c r="P45">
        <v>9500000</v>
      </c>
      <c r="Q45">
        <v>3270</v>
      </c>
      <c r="R45">
        <v>70390013013</v>
      </c>
      <c r="S45">
        <v>4784</v>
      </c>
      <c r="U45">
        <v>9500000</v>
      </c>
      <c r="V45">
        <v>3240</v>
      </c>
      <c r="W45">
        <v>89920017053</v>
      </c>
      <c r="X45">
        <v>6232</v>
      </c>
      <c r="Z45">
        <v>9500000</v>
      </c>
      <c r="AA45">
        <f t="shared" si="3"/>
        <v>3281.4</v>
      </c>
      <c r="AB45">
        <f t="shared" si="4"/>
        <v>50860008973</v>
      </c>
      <c r="AC45">
        <f t="shared" si="5"/>
        <v>3394.8</v>
      </c>
    </row>
    <row r="46" spans="1:29" x14ac:dyDescent="0.25">
      <c r="A46">
        <v>10000000</v>
      </c>
      <c r="B46">
        <v>3530</v>
      </c>
      <c r="C46">
        <v>12180000920</v>
      </c>
      <c r="D46">
        <v>568</v>
      </c>
      <c r="F46">
        <v>10000000</v>
      </c>
      <c r="G46">
        <v>3412</v>
      </c>
      <c r="H46">
        <v>31710004960</v>
      </c>
      <c r="I46">
        <v>2027</v>
      </c>
      <c r="K46">
        <v>10000000</v>
      </c>
      <c r="L46">
        <v>3446</v>
      </c>
      <c r="M46">
        <v>51240009000</v>
      </c>
      <c r="N46">
        <v>3411</v>
      </c>
      <c r="P46">
        <v>10000000</v>
      </c>
      <c r="Q46">
        <v>3427</v>
      </c>
      <c r="R46">
        <v>70770013040</v>
      </c>
      <c r="S46">
        <v>4794</v>
      </c>
      <c r="U46">
        <v>10000000</v>
      </c>
      <c r="V46">
        <v>3394</v>
      </c>
      <c r="W46">
        <v>90300017080</v>
      </c>
      <c r="X46">
        <v>6250</v>
      </c>
      <c r="Z46">
        <v>10000000</v>
      </c>
      <c r="AA46">
        <f t="shared" si="3"/>
        <v>3441.8</v>
      </c>
      <c r="AB46">
        <f t="shared" si="4"/>
        <v>51240009000</v>
      </c>
      <c r="AC46">
        <f t="shared" si="5"/>
        <v>3410</v>
      </c>
    </row>
    <row r="49" spans="1:29" x14ac:dyDescent="0.25">
      <c r="A49" s="3" t="s">
        <v>38</v>
      </c>
      <c r="B49" s="3"/>
      <c r="C49" s="3"/>
      <c r="D49" s="3"/>
      <c r="F49" s="3" t="s">
        <v>38</v>
      </c>
      <c r="G49" s="3"/>
      <c r="H49" s="3"/>
      <c r="I49" s="3"/>
      <c r="K49" s="3" t="s">
        <v>38</v>
      </c>
      <c r="L49" s="3"/>
      <c r="M49" s="3"/>
      <c r="N49" s="3"/>
      <c r="P49" s="3" t="s">
        <v>38</v>
      </c>
      <c r="Q49" s="3"/>
      <c r="R49" s="3"/>
      <c r="S49" s="3"/>
      <c r="U49" s="3" t="s">
        <v>38</v>
      </c>
      <c r="V49" s="3"/>
      <c r="W49" s="3"/>
      <c r="X49" s="3"/>
      <c r="Z49" s="3" t="s">
        <v>39</v>
      </c>
      <c r="AA49" s="3"/>
      <c r="AB49" s="3"/>
      <c r="AC49" s="3"/>
    </row>
    <row r="50" spans="1:29" x14ac:dyDescent="0.25">
      <c r="A50" t="s">
        <v>24</v>
      </c>
      <c r="B50" t="s">
        <v>25</v>
      </c>
      <c r="C50" t="s">
        <v>26</v>
      </c>
      <c r="D50" t="s">
        <v>27</v>
      </c>
      <c r="F50" t="s">
        <v>24</v>
      </c>
      <c r="G50" t="s">
        <v>25</v>
      </c>
      <c r="H50" t="s">
        <v>26</v>
      </c>
      <c r="I50" t="s">
        <v>27</v>
      </c>
      <c r="K50" t="s">
        <v>24</v>
      </c>
      <c r="L50" t="s">
        <v>25</v>
      </c>
      <c r="M50" t="s">
        <v>26</v>
      </c>
      <c r="N50" t="s">
        <v>27</v>
      </c>
      <c r="P50" t="s">
        <v>24</v>
      </c>
      <c r="Q50" t="s">
        <v>25</v>
      </c>
      <c r="R50" t="s">
        <v>26</v>
      </c>
      <c r="S50" t="s">
        <v>27</v>
      </c>
      <c r="U50" t="s">
        <v>24</v>
      </c>
      <c r="V50" t="s">
        <v>25</v>
      </c>
      <c r="W50" t="s">
        <v>26</v>
      </c>
      <c r="X50" t="s">
        <v>27</v>
      </c>
      <c r="Z50" t="s">
        <v>24</v>
      </c>
      <c r="AA50" t="s">
        <v>25</v>
      </c>
      <c r="AB50" t="s">
        <v>26</v>
      </c>
      <c r="AC50" t="s">
        <v>27</v>
      </c>
    </row>
    <row r="51" spans="1:29" x14ac:dyDescent="0.25">
      <c r="A51">
        <v>500000</v>
      </c>
      <c r="B51">
        <v>116</v>
      </c>
      <c r="C51">
        <v>12193000962</v>
      </c>
      <c r="D51">
        <v>577</v>
      </c>
      <c r="F51">
        <v>500000</v>
      </c>
      <c r="G51">
        <v>117</v>
      </c>
      <c r="H51">
        <v>31723005002</v>
      </c>
      <c r="I51">
        <v>2036</v>
      </c>
      <c r="K51">
        <v>500000</v>
      </c>
      <c r="L51">
        <v>121</v>
      </c>
      <c r="M51">
        <v>51253009042</v>
      </c>
      <c r="N51">
        <v>3425</v>
      </c>
      <c r="P51">
        <v>500000</v>
      </c>
      <c r="Q51">
        <v>117</v>
      </c>
      <c r="R51">
        <v>70783013082</v>
      </c>
      <c r="S51">
        <v>4803</v>
      </c>
      <c r="U51">
        <v>500000</v>
      </c>
      <c r="V51">
        <v>119</v>
      </c>
      <c r="W51">
        <v>90313017122</v>
      </c>
      <c r="X51">
        <v>6265</v>
      </c>
      <c r="Z51">
        <v>500000</v>
      </c>
      <c r="AA51">
        <f t="shared" ref="AA51:AA70" si="6">AVERAGE(B51,G51,L51,Q51,V51)</f>
        <v>118</v>
      </c>
      <c r="AB51">
        <f t="shared" ref="AB51:AB70" si="7">AVERAGE(C51,H51,M51,R51,W51)</f>
        <v>51253009042</v>
      </c>
      <c r="AC51">
        <f t="shared" ref="AC51:AC70" si="8">AVERAGE(D51,I51,N51,S51,X51)</f>
        <v>3421.2</v>
      </c>
    </row>
    <row r="52" spans="1:29" x14ac:dyDescent="0.25">
      <c r="A52">
        <v>1000000</v>
      </c>
      <c r="B52">
        <v>234</v>
      </c>
      <c r="C52">
        <v>12219001004</v>
      </c>
      <c r="D52">
        <v>590</v>
      </c>
      <c r="F52">
        <v>1000000</v>
      </c>
      <c r="G52">
        <v>234</v>
      </c>
      <c r="H52">
        <v>31749005044</v>
      </c>
      <c r="I52">
        <v>2050</v>
      </c>
      <c r="K52">
        <v>1000000</v>
      </c>
      <c r="L52">
        <v>228</v>
      </c>
      <c r="M52">
        <v>51279009084</v>
      </c>
      <c r="N52">
        <v>3441</v>
      </c>
      <c r="P52">
        <v>1000000</v>
      </c>
      <c r="Q52">
        <v>233</v>
      </c>
      <c r="R52">
        <v>70809013124</v>
      </c>
      <c r="S52">
        <v>4815</v>
      </c>
      <c r="U52">
        <v>1000000</v>
      </c>
      <c r="V52">
        <v>227</v>
      </c>
      <c r="W52">
        <v>90339017164</v>
      </c>
      <c r="X52">
        <v>6283</v>
      </c>
      <c r="Z52">
        <v>1000000</v>
      </c>
      <c r="AA52">
        <f t="shared" si="6"/>
        <v>231.2</v>
      </c>
      <c r="AB52">
        <f t="shared" si="7"/>
        <v>51279009084</v>
      </c>
      <c r="AC52">
        <f t="shared" si="8"/>
        <v>3435.8</v>
      </c>
    </row>
    <row r="53" spans="1:29" x14ac:dyDescent="0.25">
      <c r="A53">
        <v>1500000</v>
      </c>
      <c r="B53">
        <v>353</v>
      </c>
      <c r="C53">
        <v>12258001046</v>
      </c>
      <c r="D53">
        <v>605</v>
      </c>
      <c r="F53">
        <v>1500000</v>
      </c>
      <c r="G53">
        <v>342</v>
      </c>
      <c r="H53">
        <v>31788005086</v>
      </c>
      <c r="I53">
        <v>2062</v>
      </c>
      <c r="K53">
        <v>1500000</v>
      </c>
      <c r="L53">
        <v>344</v>
      </c>
      <c r="M53">
        <v>51318009126</v>
      </c>
      <c r="N53">
        <v>3454</v>
      </c>
      <c r="P53">
        <v>1500000</v>
      </c>
      <c r="Q53">
        <v>295</v>
      </c>
      <c r="R53">
        <v>70848013166</v>
      </c>
      <c r="S53">
        <v>4828</v>
      </c>
      <c r="U53">
        <v>1500000</v>
      </c>
      <c r="V53">
        <v>343</v>
      </c>
      <c r="W53">
        <v>90378017206</v>
      </c>
      <c r="X53">
        <v>6295</v>
      </c>
      <c r="Z53">
        <v>1500000</v>
      </c>
      <c r="AA53">
        <f t="shared" si="6"/>
        <v>335.4</v>
      </c>
      <c r="AB53">
        <f t="shared" si="7"/>
        <v>51318009126</v>
      </c>
      <c r="AC53">
        <f t="shared" si="8"/>
        <v>3448.8</v>
      </c>
    </row>
    <row r="54" spans="1:29" x14ac:dyDescent="0.25">
      <c r="A54">
        <v>2000000</v>
      </c>
      <c r="B54">
        <v>491</v>
      </c>
      <c r="C54">
        <v>12310001088</v>
      </c>
      <c r="D54">
        <v>616</v>
      </c>
      <c r="F54">
        <v>2000000</v>
      </c>
      <c r="G54">
        <v>453</v>
      </c>
      <c r="H54">
        <v>31840005128</v>
      </c>
      <c r="I54">
        <v>2073</v>
      </c>
      <c r="K54">
        <v>2000000</v>
      </c>
      <c r="L54">
        <v>478</v>
      </c>
      <c r="M54">
        <v>51370009168</v>
      </c>
      <c r="N54">
        <v>3465</v>
      </c>
      <c r="P54">
        <v>2000000</v>
      </c>
      <c r="Q54">
        <v>486</v>
      </c>
      <c r="R54">
        <v>70900013208</v>
      </c>
      <c r="S54">
        <v>4847</v>
      </c>
      <c r="U54">
        <v>2000000</v>
      </c>
      <c r="V54">
        <v>455</v>
      </c>
      <c r="W54">
        <v>90430017248</v>
      </c>
      <c r="X54">
        <v>6307</v>
      </c>
      <c r="Z54">
        <v>2000000</v>
      </c>
      <c r="AA54">
        <f t="shared" si="6"/>
        <v>472.6</v>
      </c>
      <c r="AB54">
        <f t="shared" si="7"/>
        <v>51370009168</v>
      </c>
      <c r="AC54">
        <f t="shared" si="8"/>
        <v>3461.6</v>
      </c>
    </row>
    <row r="55" spans="1:29" x14ac:dyDescent="0.25">
      <c r="A55">
        <v>2500000</v>
      </c>
      <c r="B55">
        <v>574</v>
      </c>
      <c r="C55">
        <v>12375001130</v>
      </c>
      <c r="D55">
        <v>634</v>
      </c>
      <c r="F55">
        <v>2500000</v>
      </c>
      <c r="G55">
        <v>574</v>
      </c>
      <c r="H55">
        <v>31905005170</v>
      </c>
      <c r="I55">
        <v>2090</v>
      </c>
      <c r="K55">
        <v>2500000</v>
      </c>
      <c r="L55">
        <v>592</v>
      </c>
      <c r="M55">
        <v>51435009210</v>
      </c>
      <c r="N55">
        <v>3481</v>
      </c>
      <c r="P55">
        <v>2500000</v>
      </c>
      <c r="Q55">
        <v>586</v>
      </c>
      <c r="R55">
        <v>70965013250</v>
      </c>
      <c r="S55">
        <v>4860</v>
      </c>
      <c r="U55">
        <v>2500000</v>
      </c>
      <c r="V55">
        <v>574</v>
      </c>
      <c r="W55">
        <v>90495017290</v>
      </c>
      <c r="X55">
        <v>6320</v>
      </c>
      <c r="Z55">
        <v>2500000</v>
      </c>
      <c r="AA55">
        <f t="shared" si="6"/>
        <v>580</v>
      </c>
      <c r="AB55">
        <f t="shared" si="7"/>
        <v>51435009210</v>
      </c>
      <c r="AC55">
        <f t="shared" si="8"/>
        <v>3477</v>
      </c>
    </row>
    <row r="56" spans="1:29" x14ac:dyDescent="0.25">
      <c r="A56">
        <v>3000000</v>
      </c>
      <c r="B56">
        <v>703</v>
      </c>
      <c r="C56">
        <v>12453001172</v>
      </c>
      <c r="D56">
        <v>650</v>
      </c>
      <c r="F56">
        <v>3000000</v>
      </c>
      <c r="G56">
        <v>698</v>
      </c>
      <c r="H56">
        <v>31983005212</v>
      </c>
      <c r="I56">
        <v>2101</v>
      </c>
      <c r="K56">
        <v>3000000</v>
      </c>
      <c r="L56">
        <v>693</v>
      </c>
      <c r="M56">
        <v>51513009252</v>
      </c>
      <c r="N56">
        <v>3496</v>
      </c>
      <c r="P56">
        <v>3000000</v>
      </c>
      <c r="Q56">
        <v>717</v>
      </c>
      <c r="R56">
        <v>71043013292</v>
      </c>
      <c r="S56">
        <v>4877</v>
      </c>
      <c r="U56">
        <v>3000000</v>
      </c>
      <c r="V56">
        <v>690</v>
      </c>
      <c r="W56">
        <v>90573017332</v>
      </c>
      <c r="X56">
        <v>6337</v>
      </c>
      <c r="Z56">
        <v>3000000</v>
      </c>
      <c r="AA56">
        <f t="shared" si="6"/>
        <v>700.2</v>
      </c>
      <c r="AB56">
        <f t="shared" si="7"/>
        <v>51513009252</v>
      </c>
      <c r="AC56">
        <f t="shared" si="8"/>
        <v>3492.2</v>
      </c>
    </row>
    <row r="57" spans="1:29" x14ac:dyDescent="0.25">
      <c r="A57">
        <v>3500000</v>
      </c>
      <c r="B57">
        <v>791</v>
      </c>
      <c r="C57">
        <v>12544001214</v>
      </c>
      <c r="D57">
        <v>666</v>
      </c>
      <c r="F57">
        <v>3500000</v>
      </c>
      <c r="G57">
        <v>827</v>
      </c>
      <c r="H57">
        <v>32074005254</v>
      </c>
      <c r="I57">
        <v>2115</v>
      </c>
      <c r="K57">
        <v>3500000</v>
      </c>
      <c r="L57">
        <v>832</v>
      </c>
      <c r="M57">
        <v>51604009294</v>
      </c>
      <c r="N57">
        <v>3507</v>
      </c>
      <c r="P57">
        <v>3500000</v>
      </c>
      <c r="Q57">
        <v>826</v>
      </c>
      <c r="R57">
        <v>71134013334</v>
      </c>
      <c r="S57">
        <v>4884</v>
      </c>
      <c r="U57">
        <v>3500000</v>
      </c>
      <c r="V57">
        <v>803</v>
      </c>
      <c r="W57">
        <v>90664017374</v>
      </c>
      <c r="X57">
        <v>6349</v>
      </c>
      <c r="Z57">
        <v>3500000</v>
      </c>
      <c r="AA57">
        <f t="shared" si="6"/>
        <v>815.8</v>
      </c>
      <c r="AB57">
        <f t="shared" si="7"/>
        <v>51604009294</v>
      </c>
      <c r="AC57">
        <f t="shared" si="8"/>
        <v>3504.2</v>
      </c>
    </row>
    <row r="58" spans="1:29" x14ac:dyDescent="0.25">
      <c r="A58">
        <v>4000000</v>
      </c>
      <c r="B58">
        <v>954</v>
      </c>
      <c r="C58">
        <v>12648001256</v>
      </c>
      <c r="D58">
        <v>676</v>
      </c>
      <c r="F58">
        <v>4000000</v>
      </c>
      <c r="G58">
        <v>936</v>
      </c>
      <c r="H58">
        <v>32178005296</v>
      </c>
      <c r="I58">
        <v>2129</v>
      </c>
      <c r="K58">
        <v>4000000</v>
      </c>
      <c r="L58">
        <v>920</v>
      </c>
      <c r="M58">
        <v>51708009336</v>
      </c>
      <c r="N58">
        <v>3518</v>
      </c>
      <c r="P58">
        <v>4000000</v>
      </c>
      <c r="Q58">
        <v>935</v>
      </c>
      <c r="R58">
        <v>71238013376</v>
      </c>
      <c r="S58">
        <v>4895</v>
      </c>
      <c r="U58">
        <v>4000000</v>
      </c>
      <c r="V58">
        <v>924</v>
      </c>
      <c r="W58">
        <v>90768017416</v>
      </c>
      <c r="X58">
        <v>6359</v>
      </c>
      <c r="Z58">
        <v>4000000</v>
      </c>
      <c r="AA58">
        <f t="shared" si="6"/>
        <v>933.8</v>
      </c>
      <c r="AB58">
        <f t="shared" si="7"/>
        <v>51708009336</v>
      </c>
      <c r="AC58">
        <f t="shared" si="8"/>
        <v>3515.4</v>
      </c>
    </row>
    <row r="59" spans="1:29" x14ac:dyDescent="0.25">
      <c r="A59">
        <v>4500000</v>
      </c>
      <c r="B59">
        <v>1042</v>
      </c>
      <c r="C59">
        <v>12765001298</v>
      </c>
      <c r="D59">
        <v>694</v>
      </c>
      <c r="F59">
        <v>4500000</v>
      </c>
      <c r="G59">
        <v>1056</v>
      </c>
      <c r="H59">
        <v>32295005338</v>
      </c>
      <c r="I59">
        <v>2144</v>
      </c>
      <c r="K59">
        <v>4500000</v>
      </c>
      <c r="L59">
        <v>1031</v>
      </c>
      <c r="M59">
        <v>51825009378</v>
      </c>
      <c r="N59">
        <v>3527</v>
      </c>
      <c r="P59">
        <v>4500000</v>
      </c>
      <c r="Q59">
        <v>1058</v>
      </c>
      <c r="R59">
        <v>71355013418</v>
      </c>
      <c r="S59">
        <v>4910</v>
      </c>
      <c r="U59">
        <v>4500000</v>
      </c>
      <c r="V59">
        <v>1047</v>
      </c>
      <c r="W59">
        <v>90885017458</v>
      </c>
      <c r="X59">
        <v>6368</v>
      </c>
      <c r="Z59">
        <v>4500000</v>
      </c>
      <c r="AA59">
        <f t="shared" si="6"/>
        <v>1046.8</v>
      </c>
      <c r="AB59">
        <f t="shared" si="7"/>
        <v>51825009378</v>
      </c>
      <c r="AC59">
        <f t="shared" si="8"/>
        <v>3528.6</v>
      </c>
    </row>
    <row r="60" spans="1:29" x14ac:dyDescent="0.25">
      <c r="A60">
        <v>5000000</v>
      </c>
      <c r="B60">
        <v>1195</v>
      </c>
      <c r="C60">
        <v>12895001340</v>
      </c>
      <c r="D60">
        <v>708</v>
      </c>
      <c r="F60">
        <v>5000000</v>
      </c>
      <c r="G60">
        <v>1167</v>
      </c>
      <c r="H60">
        <v>32425005380</v>
      </c>
      <c r="I60">
        <v>2156</v>
      </c>
      <c r="K60">
        <v>5000000</v>
      </c>
      <c r="L60">
        <v>1166</v>
      </c>
      <c r="M60">
        <v>51955009420</v>
      </c>
      <c r="N60">
        <v>3543</v>
      </c>
      <c r="P60">
        <v>5000000</v>
      </c>
      <c r="Q60">
        <v>1184</v>
      </c>
      <c r="R60">
        <v>71485013460</v>
      </c>
      <c r="S60">
        <v>4920</v>
      </c>
      <c r="U60">
        <v>5000000</v>
      </c>
      <c r="V60">
        <v>1166</v>
      </c>
      <c r="W60">
        <v>91015017500</v>
      </c>
      <c r="X60">
        <v>6381</v>
      </c>
      <c r="Z60">
        <v>5000000</v>
      </c>
      <c r="AA60">
        <f t="shared" si="6"/>
        <v>1175.5999999999999</v>
      </c>
      <c r="AB60">
        <f t="shared" si="7"/>
        <v>51955009420</v>
      </c>
      <c r="AC60">
        <f t="shared" si="8"/>
        <v>3541.6</v>
      </c>
    </row>
    <row r="61" spans="1:29" x14ac:dyDescent="0.25">
      <c r="A61">
        <v>5500000</v>
      </c>
      <c r="B61">
        <v>1302</v>
      </c>
      <c r="C61">
        <v>13038001382</v>
      </c>
      <c r="D61">
        <v>723</v>
      </c>
      <c r="F61">
        <v>5500000</v>
      </c>
      <c r="G61">
        <v>1287</v>
      </c>
      <c r="H61">
        <v>32568005422</v>
      </c>
      <c r="I61">
        <v>2163</v>
      </c>
      <c r="K61">
        <v>5500000</v>
      </c>
      <c r="L61">
        <v>1287</v>
      </c>
      <c r="M61">
        <v>52098009462</v>
      </c>
      <c r="N61">
        <v>3553</v>
      </c>
      <c r="P61">
        <v>5500000</v>
      </c>
      <c r="Q61">
        <v>1284</v>
      </c>
      <c r="R61">
        <v>71628013502</v>
      </c>
      <c r="S61">
        <v>4937</v>
      </c>
      <c r="U61">
        <v>5500000</v>
      </c>
      <c r="V61">
        <v>1285</v>
      </c>
      <c r="W61">
        <v>91158017542</v>
      </c>
      <c r="X61">
        <v>6398</v>
      </c>
      <c r="Z61">
        <v>5500000</v>
      </c>
      <c r="AA61">
        <f t="shared" si="6"/>
        <v>1289</v>
      </c>
      <c r="AB61">
        <f t="shared" si="7"/>
        <v>52098009462</v>
      </c>
      <c r="AC61">
        <f t="shared" si="8"/>
        <v>3554.8</v>
      </c>
    </row>
    <row r="62" spans="1:29" x14ac:dyDescent="0.25">
      <c r="A62">
        <v>6000000</v>
      </c>
      <c r="B62">
        <v>1436</v>
      </c>
      <c r="C62">
        <v>13194001424</v>
      </c>
      <c r="D62">
        <v>737</v>
      </c>
      <c r="F62">
        <v>6000000</v>
      </c>
      <c r="G62">
        <v>1405</v>
      </c>
      <c r="H62">
        <v>32724005464</v>
      </c>
      <c r="I62">
        <v>2177</v>
      </c>
      <c r="K62">
        <v>6000000</v>
      </c>
      <c r="L62">
        <v>1387</v>
      </c>
      <c r="M62">
        <v>52254009504</v>
      </c>
      <c r="N62">
        <v>3569</v>
      </c>
      <c r="P62">
        <v>6000000</v>
      </c>
      <c r="Q62">
        <v>1407</v>
      </c>
      <c r="R62">
        <v>71784013544</v>
      </c>
      <c r="S62">
        <v>4948</v>
      </c>
      <c r="U62">
        <v>6000000</v>
      </c>
      <c r="V62">
        <v>1394</v>
      </c>
      <c r="W62">
        <v>91314017584</v>
      </c>
      <c r="X62">
        <v>6418</v>
      </c>
      <c r="Z62">
        <v>6000000</v>
      </c>
      <c r="AA62">
        <f t="shared" si="6"/>
        <v>1405.8</v>
      </c>
      <c r="AB62">
        <f t="shared" si="7"/>
        <v>52254009504</v>
      </c>
      <c r="AC62">
        <f t="shared" si="8"/>
        <v>3569.8</v>
      </c>
    </row>
    <row r="63" spans="1:29" x14ac:dyDescent="0.25">
      <c r="A63">
        <v>6500000</v>
      </c>
      <c r="B63">
        <v>1460</v>
      </c>
      <c r="C63">
        <v>13363001466</v>
      </c>
      <c r="D63">
        <v>749</v>
      </c>
      <c r="F63">
        <v>6500000</v>
      </c>
      <c r="G63">
        <v>1536</v>
      </c>
      <c r="H63">
        <v>32893005506</v>
      </c>
      <c r="I63">
        <v>2188</v>
      </c>
      <c r="K63">
        <v>6500000</v>
      </c>
      <c r="L63">
        <v>1536</v>
      </c>
      <c r="M63">
        <v>52423009546</v>
      </c>
      <c r="N63">
        <v>3585</v>
      </c>
      <c r="P63">
        <v>6500000</v>
      </c>
      <c r="Q63">
        <v>1505</v>
      </c>
      <c r="R63">
        <v>71953013586</v>
      </c>
      <c r="S63">
        <v>4964</v>
      </c>
      <c r="U63">
        <v>6500000</v>
      </c>
      <c r="V63">
        <v>1504</v>
      </c>
      <c r="W63">
        <v>91483017626</v>
      </c>
      <c r="X63">
        <v>6433</v>
      </c>
      <c r="Z63">
        <v>6500000</v>
      </c>
      <c r="AA63">
        <f t="shared" si="6"/>
        <v>1508.2</v>
      </c>
      <c r="AB63">
        <f t="shared" si="7"/>
        <v>52423009546</v>
      </c>
      <c r="AC63">
        <f t="shared" si="8"/>
        <v>3583.8</v>
      </c>
    </row>
    <row r="64" spans="1:29" x14ac:dyDescent="0.25">
      <c r="A64">
        <v>7000000</v>
      </c>
      <c r="B64">
        <v>1627</v>
      </c>
      <c r="C64">
        <v>13545001508</v>
      </c>
      <c r="D64">
        <v>768</v>
      </c>
      <c r="F64">
        <v>7000000</v>
      </c>
      <c r="G64">
        <v>1666</v>
      </c>
      <c r="H64">
        <v>33075005548</v>
      </c>
      <c r="I64">
        <v>2201</v>
      </c>
      <c r="K64">
        <v>7000000</v>
      </c>
      <c r="L64">
        <v>1668</v>
      </c>
      <c r="M64">
        <v>52605009588</v>
      </c>
      <c r="N64">
        <v>3599</v>
      </c>
      <c r="P64">
        <v>7000000</v>
      </c>
      <c r="Q64">
        <v>1649</v>
      </c>
      <c r="R64">
        <v>72135013628</v>
      </c>
      <c r="S64">
        <v>4982</v>
      </c>
      <c r="U64">
        <v>7000000</v>
      </c>
      <c r="V64">
        <v>1611</v>
      </c>
      <c r="W64">
        <v>91665017668</v>
      </c>
      <c r="X64">
        <v>6446</v>
      </c>
      <c r="Z64">
        <v>7000000</v>
      </c>
      <c r="AA64">
        <f t="shared" si="6"/>
        <v>1644.2</v>
      </c>
      <c r="AB64">
        <f t="shared" si="7"/>
        <v>52605009588</v>
      </c>
      <c r="AC64">
        <f t="shared" si="8"/>
        <v>3599.2</v>
      </c>
    </row>
    <row r="65" spans="1:29" x14ac:dyDescent="0.25">
      <c r="A65">
        <v>7500000</v>
      </c>
      <c r="B65">
        <v>1787</v>
      </c>
      <c r="C65">
        <v>13740001550</v>
      </c>
      <c r="D65">
        <v>788</v>
      </c>
      <c r="F65">
        <v>7500000</v>
      </c>
      <c r="G65">
        <v>1786</v>
      </c>
      <c r="H65">
        <v>33270005590</v>
      </c>
      <c r="I65">
        <v>2212</v>
      </c>
      <c r="K65">
        <v>7500000</v>
      </c>
      <c r="L65">
        <v>1748</v>
      </c>
      <c r="M65">
        <v>52800009630</v>
      </c>
      <c r="N65">
        <v>3615</v>
      </c>
      <c r="P65">
        <v>7500000</v>
      </c>
      <c r="Q65">
        <v>1751</v>
      </c>
      <c r="R65">
        <v>72330013670</v>
      </c>
      <c r="S65">
        <v>4997</v>
      </c>
      <c r="U65">
        <v>7500000</v>
      </c>
      <c r="V65">
        <v>1731</v>
      </c>
      <c r="W65">
        <v>91860017710</v>
      </c>
      <c r="X65">
        <v>6457</v>
      </c>
      <c r="Z65">
        <v>7500000</v>
      </c>
      <c r="AA65">
        <f t="shared" si="6"/>
        <v>1760.6</v>
      </c>
      <c r="AB65">
        <f t="shared" si="7"/>
        <v>52800009630</v>
      </c>
      <c r="AC65">
        <f t="shared" si="8"/>
        <v>3613.8</v>
      </c>
    </row>
    <row r="66" spans="1:29" x14ac:dyDescent="0.25">
      <c r="A66">
        <v>8000000</v>
      </c>
      <c r="B66">
        <v>1906</v>
      </c>
      <c r="C66">
        <v>13948001592</v>
      </c>
      <c r="D66">
        <v>804</v>
      </c>
      <c r="F66">
        <v>8000000</v>
      </c>
      <c r="G66">
        <v>1876</v>
      </c>
      <c r="H66">
        <v>33478005632</v>
      </c>
      <c r="I66">
        <v>2223</v>
      </c>
      <c r="K66">
        <v>8000000</v>
      </c>
      <c r="L66">
        <v>1872</v>
      </c>
      <c r="M66">
        <v>53008009672</v>
      </c>
      <c r="N66">
        <v>3629</v>
      </c>
      <c r="P66">
        <v>8000000</v>
      </c>
      <c r="Q66">
        <v>1894</v>
      </c>
      <c r="R66">
        <v>72538013712</v>
      </c>
      <c r="S66">
        <v>5011</v>
      </c>
      <c r="U66">
        <v>8000000</v>
      </c>
      <c r="V66">
        <v>1854</v>
      </c>
      <c r="W66">
        <v>92068017752</v>
      </c>
      <c r="X66">
        <v>6470</v>
      </c>
      <c r="Z66">
        <v>8000000</v>
      </c>
      <c r="AA66">
        <f t="shared" si="6"/>
        <v>1880.4</v>
      </c>
      <c r="AB66">
        <f t="shared" si="7"/>
        <v>53008009672</v>
      </c>
      <c r="AC66">
        <f t="shared" si="8"/>
        <v>3627.4</v>
      </c>
    </row>
    <row r="67" spans="1:29" x14ac:dyDescent="0.25">
      <c r="A67">
        <v>8500000</v>
      </c>
      <c r="B67">
        <v>2045</v>
      </c>
      <c r="C67">
        <v>14169001634</v>
      </c>
      <c r="D67">
        <v>816</v>
      </c>
      <c r="F67">
        <v>8500000</v>
      </c>
      <c r="G67">
        <v>1922</v>
      </c>
      <c r="H67">
        <v>33699005674</v>
      </c>
      <c r="I67">
        <v>2235</v>
      </c>
      <c r="K67">
        <v>8500000</v>
      </c>
      <c r="L67">
        <v>1972</v>
      </c>
      <c r="M67">
        <v>53229009714</v>
      </c>
      <c r="N67">
        <v>3644</v>
      </c>
      <c r="P67">
        <v>8500000</v>
      </c>
      <c r="Q67">
        <v>2013</v>
      </c>
      <c r="R67">
        <v>72759013754</v>
      </c>
      <c r="S67">
        <v>5029</v>
      </c>
      <c r="U67">
        <v>8500000</v>
      </c>
      <c r="V67">
        <v>1952</v>
      </c>
      <c r="W67">
        <v>92289017794</v>
      </c>
      <c r="X67">
        <v>6481</v>
      </c>
      <c r="Z67">
        <v>8500000</v>
      </c>
      <c r="AA67">
        <f t="shared" si="6"/>
        <v>1980.8</v>
      </c>
      <c r="AB67">
        <f t="shared" si="7"/>
        <v>53229009714</v>
      </c>
      <c r="AC67">
        <f t="shared" si="8"/>
        <v>3641</v>
      </c>
    </row>
    <row r="68" spans="1:29" x14ac:dyDescent="0.25">
      <c r="A68">
        <v>9000000</v>
      </c>
      <c r="B68">
        <v>2145</v>
      </c>
      <c r="C68">
        <v>14403001676</v>
      </c>
      <c r="D68">
        <v>827</v>
      </c>
      <c r="F68">
        <v>9000000</v>
      </c>
      <c r="G68">
        <v>2133</v>
      </c>
      <c r="H68">
        <v>33933005716</v>
      </c>
      <c r="I68">
        <v>2252</v>
      </c>
      <c r="K68">
        <v>9000000</v>
      </c>
      <c r="L68">
        <v>2109</v>
      </c>
      <c r="M68">
        <v>53463009756</v>
      </c>
      <c r="N68">
        <v>3658</v>
      </c>
      <c r="P68">
        <v>9000000</v>
      </c>
      <c r="Q68">
        <v>2142</v>
      </c>
      <c r="R68">
        <v>72993013796</v>
      </c>
      <c r="S68">
        <v>5045</v>
      </c>
      <c r="U68">
        <v>9000000</v>
      </c>
      <c r="V68">
        <v>2091</v>
      </c>
      <c r="W68">
        <v>92523017836</v>
      </c>
      <c r="X68">
        <v>6492</v>
      </c>
      <c r="Z68">
        <v>9000000</v>
      </c>
      <c r="AA68">
        <f t="shared" si="6"/>
        <v>2124</v>
      </c>
      <c r="AB68">
        <f t="shared" si="7"/>
        <v>53463009756</v>
      </c>
      <c r="AC68">
        <f t="shared" si="8"/>
        <v>3654.8</v>
      </c>
    </row>
    <row r="69" spans="1:29" x14ac:dyDescent="0.25">
      <c r="A69">
        <v>9500000</v>
      </c>
      <c r="B69">
        <v>2245</v>
      </c>
      <c r="C69">
        <v>14650001718</v>
      </c>
      <c r="D69">
        <v>845</v>
      </c>
      <c r="F69">
        <v>9500000</v>
      </c>
      <c r="G69">
        <v>2236</v>
      </c>
      <c r="H69">
        <v>34180005758</v>
      </c>
      <c r="I69">
        <v>2269</v>
      </c>
      <c r="K69">
        <v>9500000</v>
      </c>
      <c r="L69">
        <v>2233</v>
      </c>
      <c r="M69">
        <v>53710009798</v>
      </c>
      <c r="N69">
        <v>3670</v>
      </c>
      <c r="P69">
        <v>9500000</v>
      </c>
      <c r="Q69">
        <v>2232</v>
      </c>
      <c r="R69">
        <v>73240013838</v>
      </c>
      <c r="S69">
        <v>5067</v>
      </c>
      <c r="U69">
        <v>9500000</v>
      </c>
      <c r="V69">
        <v>2246</v>
      </c>
      <c r="W69">
        <v>92770017878</v>
      </c>
      <c r="X69">
        <v>6512</v>
      </c>
      <c r="Z69">
        <v>9500000</v>
      </c>
      <c r="AA69">
        <f t="shared" si="6"/>
        <v>2238.4</v>
      </c>
      <c r="AB69">
        <f t="shared" si="7"/>
        <v>53710009798</v>
      </c>
      <c r="AC69">
        <f t="shared" si="8"/>
        <v>3672.6</v>
      </c>
    </row>
    <row r="70" spans="1:29" x14ac:dyDescent="0.25">
      <c r="A70">
        <v>10000000</v>
      </c>
      <c r="B70">
        <v>2330</v>
      </c>
      <c r="C70">
        <v>14910001760</v>
      </c>
      <c r="D70">
        <v>862</v>
      </c>
      <c r="F70">
        <v>10000000</v>
      </c>
      <c r="G70">
        <v>2308</v>
      </c>
      <c r="H70">
        <v>34440005800</v>
      </c>
      <c r="I70">
        <v>2280</v>
      </c>
      <c r="K70">
        <v>10000000</v>
      </c>
      <c r="L70">
        <v>2354</v>
      </c>
      <c r="M70">
        <v>53970009840</v>
      </c>
      <c r="N70">
        <v>3686</v>
      </c>
      <c r="P70">
        <v>10000000</v>
      </c>
      <c r="Q70">
        <v>2343</v>
      </c>
      <c r="R70">
        <v>73500013880</v>
      </c>
      <c r="S70">
        <v>5081</v>
      </c>
      <c r="U70">
        <v>10000000</v>
      </c>
      <c r="V70">
        <v>2280</v>
      </c>
      <c r="W70">
        <v>93030017920</v>
      </c>
      <c r="X70">
        <v>6530</v>
      </c>
      <c r="Z70">
        <v>10000000</v>
      </c>
      <c r="AA70">
        <f t="shared" si="6"/>
        <v>2323</v>
      </c>
      <c r="AB70">
        <f t="shared" si="7"/>
        <v>53970009840</v>
      </c>
      <c r="AC70">
        <f t="shared" si="8"/>
        <v>3687.8</v>
      </c>
    </row>
    <row r="73" spans="1:29" x14ac:dyDescent="0.25">
      <c r="A73" s="3" t="s">
        <v>40</v>
      </c>
      <c r="B73" s="3"/>
      <c r="C73" s="3"/>
      <c r="D73" s="3"/>
      <c r="F73" s="3" t="s">
        <v>40</v>
      </c>
      <c r="G73" s="3"/>
      <c r="H73" s="3"/>
      <c r="I73" s="3"/>
      <c r="K73" s="3" t="s">
        <v>40</v>
      </c>
      <c r="L73" s="3"/>
      <c r="M73" s="3"/>
      <c r="N73" s="3"/>
      <c r="P73" s="3" t="s">
        <v>40</v>
      </c>
      <c r="Q73" s="3"/>
      <c r="R73" s="3"/>
      <c r="S73" s="3"/>
      <c r="U73" s="3" t="s">
        <v>40</v>
      </c>
      <c r="V73" s="3"/>
      <c r="W73" s="3"/>
      <c r="X73" s="3"/>
      <c r="Z73" s="3" t="s">
        <v>41</v>
      </c>
      <c r="AA73" s="3"/>
      <c r="AB73" s="3"/>
      <c r="AC73" s="3"/>
    </row>
    <row r="74" spans="1:29" x14ac:dyDescent="0.25">
      <c r="A74" t="s">
        <v>24</v>
      </c>
      <c r="B74" t="s">
        <v>25</v>
      </c>
      <c r="C74" t="s">
        <v>26</v>
      </c>
      <c r="D74" t="s">
        <v>27</v>
      </c>
      <c r="F74" t="s">
        <v>24</v>
      </c>
      <c r="G74" t="s">
        <v>25</v>
      </c>
      <c r="H74" t="s">
        <v>26</v>
      </c>
      <c r="I74" t="s">
        <v>27</v>
      </c>
      <c r="K74" t="s">
        <v>24</v>
      </c>
      <c r="L74" t="s">
        <v>25</v>
      </c>
      <c r="M74" t="s">
        <v>26</v>
      </c>
      <c r="N74" t="s">
        <v>27</v>
      </c>
      <c r="P74" t="s">
        <v>24</v>
      </c>
      <c r="Q74" t="s">
        <v>25</v>
      </c>
      <c r="R74" t="s">
        <v>26</v>
      </c>
      <c r="S74" t="s">
        <v>27</v>
      </c>
      <c r="U74" t="s">
        <v>24</v>
      </c>
      <c r="V74" t="s">
        <v>25</v>
      </c>
      <c r="W74" t="s">
        <v>26</v>
      </c>
      <c r="X74" t="s">
        <v>27</v>
      </c>
      <c r="Z74" t="s">
        <v>24</v>
      </c>
      <c r="AA74" t="s">
        <v>25</v>
      </c>
      <c r="AB74" t="s">
        <v>26</v>
      </c>
      <c r="AC74" t="s">
        <v>27</v>
      </c>
    </row>
    <row r="75" spans="1:29" x14ac:dyDescent="0.25">
      <c r="A75">
        <v>500000</v>
      </c>
      <c r="B75">
        <v>119</v>
      </c>
      <c r="C75">
        <v>14923001814</v>
      </c>
      <c r="D75">
        <v>875</v>
      </c>
      <c r="F75">
        <v>500000</v>
      </c>
      <c r="G75">
        <v>118</v>
      </c>
      <c r="H75">
        <v>34453005854</v>
      </c>
      <c r="I75">
        <v>2291</v>
      </c>
      <c r="K75">
        <v>500000</v>
      </c>
      <c r="L75">
        <v>122</v>
      </c>
      <c r="M75">
        <v>53983009894</v>
      </c>
      <c r="N75">
        <v>3703</v>
      </c>
      <c r="P75">
        <v>500000</v>
      </c>
      <c r="Q75">
        <v>118</v>
      </c>
      <c r="R75">
        <v>73513013934</v>
      </c>
      <c r="S75">
        <v>5097</v>
      </c>
      <c r="U75">
        <v>500000</v>
      </c>
      <c r="V75">
        <v>122</v>
      </c>
      <c r="W75">
        <v>93043017974</v>
      </c>
      <c r="X75">
        <v>6553</v>
      </c>
      <c r="Z75">
        <v>500000</v>
      </c>
      <c r="AA75">
        <f t="shared" ref="AA75:AA94" si="9">AVERAGE(B75,G75,L75,Q75,V75)</f>
        <v>119.8</v>
      </c>
      <c r="AB75">
        <f t="shared" ref="AB75:AB94" si="10">AVERAGE(C75,H75,M75,R75,W75)</f>
        <v>53983009894</v>
      </c>
      <c r="AC75">
        <f t="shared" ref="AC75:AC94" si="11">AVERAGE(D75,I75,N75,S75,X75)</f>
        <v>3703.8</v>
      </c>
    </row>
    <row r="76" spans="1:29" x14ac:dyDescent="0.25">
      <c r="A76">
        <v>1000000</v>
      </c>
      <c r="B76">
        <v>236</v>
      </c>
      <c r="C76">
        <v>14949001868</v>
      </c>
      <c r="D76">
        <v>886</v>
      </c>
      <c r="F76">
        <v>1000000</v>
      </c>
      <c r="G76">
        <v>231</v>
      </c>
      <c r="H76">
        <v>34479005908</v>
      </c>
      <c r="I76">
        <v>2305</v>
      </c>
      <c r="K76">
        <v>1000000</v>
      </c>
      <c r="L76">
        <v>231</v>
      </c>
      <c r="M76">
        <v>54009009948</v>
      </c>
      <c r="N76">
        <v>3717</v>
      </c>
      <c r="P76">
        <v>1000000</v>
      </c>
      <c r="Q76">
        <v>226</v>
      </c>
      <c r="R76">
        <v>73539013988</v>
      </c>
      <c r="S76">
        <v>5112</v>
      </c>
      <c r="U76">
        <v>1000000</v>
      </c>
      <c r="V76">
        <v>230</v>
      </c>
      <c r="W76">
        <v>93069018028</v>
      </c>
      <c r="X76">
        <v>6575</v>
      </c>
      <c r="Z76">
        <v>1000000</v>
      </c>
      <c r="AA76">
        <f t="shared" si="9"/>
        <v>230.8</v>
      </c>
      <c r="AB76">
        <f t="shared" si="10"/>
        <v>54009009948</v>
      </c>
      <c r="AC76">
        <f t="shared" si="11"/>
        <v>3719</v>
      </c>
    </row>
    <row r="77" spans="1:29" x14ac:dyDescent="0.25">
      <c r="A77">
        <v>1500000</v>
      </c>
      <c r="B77">
        <v>359</v>
      </c>
      <c r="C77">
        <v>14988001922</v>
      </c>
      <c r="D77">
        <v>912</v>
      </c>
      <c r="F77">
        <v>1500000</v>
      </c>
      <c r="G77">
        <v>349</v>
      </c>
      <c r="H77">
        <v>34518005962</v>
      </c>
      <c r="I77">
        <v>2319</v>
      </c>
      <c r="K77">
        <v>1500000</v>
      </c>
      <c r="L77">
        <v>369</v>
      </c>
      <c r="M77">
        <v>54048010002</v>
      </c>
      <c r="N77">
        <v>3728</v>
      </c>
      <c r="P77">
        <v>1500000</v>
      </c>
      <c r="Q77">
        <v>364</v>
      </c>
      <c r="R77">
        <v>73578014042</v>
      </c>
      <c r="S77">
        <v>5127</v>
      </c>
      <c r="U77">
        <v>1500000</v>
      </c>
      <c r="V77">
        <v>347</v>
      </c>
      <c r="W77">
        <v>93108018082</v>
      </c>
      <c r="X77">
        <v>6593</v>
      </c>
      <c r="Z77">
        <v>1500000</v>
      </c>
      <c r="AA77">
        <f t="shared" si="9"/>
        <v>357.6</v>
      </c>
      <c r="AB77">
        <f t="shared" si="10"/>
        <v>54048010002</v>
      </c>
      <c r="AC77">
        <f t="shared" si="11"/>
        <v>3735.8</v>
      </c>
    </row>
    <row r="78" spans="1:29" x14ac:dyDescent="0.25">
      <c r="A78">
        <v>2000000</v>
      </c>
      <c r="B78">
        <v>480</v>
      </c>
      <c r="C78">
        <v>15040001976</v>
      </c>
      <c r="D78">
        <v>929</v>
      </c>
      <c r="F78">
        <v>2000000</v>
      </c>
      <c r="G78">
        <v>463</v>
      </c>
      <c r="H78">
        <v>34570006016</v>
      </c>
      <c r="I78">
        <v>2335</v>
      </c>
      <c r="K78">
        <v>2000000</v>
      </c>
      <c r="L78">
        <v>471</v>
      </c>
      <c r="M78">
        <v>54100010056</v>
      </c>
      <c r="N78">
        <v>3745</v>
      </c>
      <c r="P78">
        <v>2000000</v>
      </c>
      <c r="Q78">
        <v>463</v>
      </c>
      <c r="R78">
        <v>73630014096</v>
      </c>
      <c r="S78">
        <v>5141</v>
      </c>
      <c r="U78">
        <v>2000000</v>
      </c>
      <c r="V78">
        <v>467</v>
      </c>
      <c r="W78">
        <v>93160018136</v>
      </c>
      <c r="X78">
        <v>6604</v>
      </c>
      <c r="Z78">
        <v>2000000</v>
      </c>
      <c r="AA78">
        <f t="shared" si="9"/>
        <v>468.8</v>
      </c>
      <c r="AB78">
        <f t="shared" si="10"/>
        <v>54100010056</v>
      </c>
      <c r="AC78">
        <f t="shared" si="11"/>
        <v>3750.8</v>
      </c>
    </row>
    <row r="79" spans="1:29" x14ac:dyDescent="0.25">
      <c r="A79">
        <v>2500000</v>
      </c>
      <c r="B79">
        <v>609</v>
      </c>
      <c r="C79">
        <v>15105002030</v>
      </c>
      <c r="D79">
        <v>938</v>
      </c>
      <c r="F79">
        <v>2500000</v>
      </c>
      <c r="G79">
        <v>579</v>
      </c>
      <c r="H79">
        <v>34635006070</v>
      </c>
      <c r="I79">
        <v>2352</v>
      </c>
      <c r="K79">
        <v>2500000</v>
      </c>
      <c r="L79">
        <v>602</v>
      </c>
      <c r="M79">
        <v>54165010110</v>
      </c>
      <c r="N79">
        <v>3759</v>
      </c>
      <c r="P79">
        <v>2500000</v>
      </c>
      <c r="Q79">
        <v>571</v>
      </c>
      <c r="R79">
        <v>73695014150</v>
      </c>
      <c r="S79">
        <v>5155</v>
      </c>
      <c r="U79">
        <v>2500000</v>
      </c>
      <c r="V79">
        <v>585</v>
      </c>
      <c r="W79">
        <v>93225018190</v>
      </c>
      <c r="X79">
        <v>6622</v>
      </c>
      <c r="Z79">
        <v>2500000</v>
      </c>
      <c r="AA79">
        <f t="shared" si="9"/>
        <v>589.20000000000005</v>
      </c>
      <c r="AB79">
        <f t="shared" si="10"/>
        <v>54165010110</v>
      </c>
      <c r="AC79">
        <f t="shared" si="11"/>
        <v>3765.2</v>
      </c>
    </row>
    <row r="80" spans="1:29" x14ac:dyDescent="0.25">
      <c r="A80">
        <v>3000000</v>
      </c>
      <c r="B80">
        <v>705</v>
      </c>
      <c r="C80">
        <v>15183002084</v>
      </c>
      <c r="D80">
        <v>949</v>
      </c>
      <c r="F80">
        <v>3000000</v>
      </c>
      <c r="G80">
        <v>711</v>
      </c>
      <c r="H80">
        <v>34713006124</v>
      </c>
      <c r="I80">
        <v>2364</v>
      </c>
      <c r="K80">
        <v>3000000</v>
      </c>
      <c r="L80">
        <v>713</v>
      </c>
      <c r="M80">
        <v>54243010164</v>
      </c>
      <c r="N80">
        <v>3772</v>
      </c>
      <c r="P80">
        <v>3000000</v>
      </c>
      <c r="Q80">
        <v>719</v>
      </c>
      <c r="R80">
        <v>73773014204</v>
      </c>
      <c r="S80">
        <v>5175</v>
      </c>
      <c r="U80">
        <v>3000000</v>
      </c>
      <c r="V80">
        <v>693</v>
      </c>
      <c r="W80">
        <v>93303018244</v>
      </c>
      <c r="X80">
        <v>6631</v>
      </c>
      <c r="Z80">
        <v>3000000</v>
      </c>
      <c r="AA80">
        <f t="shared" si="9"/>
        <v>708.2</v>
      </c>
      <c r="AB80">
        <f t="shared" si="10"/>
        <v>54243010164</v>
      </c>
      <c r="AC80">
        <f t="shared" si="11"/>
        <v>3778.2</v>
      </c>
    </row>
    <row r="81" spans="1:29" x14ac:dyDescent="0.25">
      <c r="A81">
        <v>3500000</v>
      </c>
      <c r="B81">
        <v>819</v>
      </c>
      <c r="C81">
        <v>15274002138</v>
      </c>
      <c r="D81">
        <v>961</v>
      </c>
      <c r="F81">
        <v>3500000</v>
      </c>
      <c r="G81">
        <v>831</v>
      </c>
      <c r="H81">
        <v>34804006178</v>
      </c>
      <c r="I81">
        <v>2379</v>
      </c>
      <c r="K81">
        <v>3500000</v>
      </c>
      <c r="L81">
        <v>840</v>
      </c>
      <c r="M81">
        <v>54334010218</v>
      </c>
      <c r="N81">
        <v>3794</v>
      </c>
      <c r="P81">
        <v>3500000</v>
      </c>
      <c r="Q81">
        <v>836</v>
      </c>
      <c r="R81">
        <v>73864014258</v>
      </c>
      <c r="S81">
        <v>5187</v>
      </c>
      <c r="U81">
        <v>3500000</v>
      </c>
      <c r="V81">
        <v>826</v>
      </c>
      <c r="W81">
        <v>93394018298</v>
      </c>
      <c r="X81">
        <v>6642</v>
      </c>
      <c r="Z81">
        <v>3500000</v>
      </c>
      <c r="AA81">
        <f t="shared" si="9"/>
        <v>830.4</v>
      </c>
      <c r="AB81">
        <f t="shared" si="10"/>
        <v>54334010218</v>
      </c>
      <c r="AC81">
        <f t="shared" si="11"/>
        <v>3792.6</v>
      </c>
    </row>
    <row r="82" spans="1:29" x14ac:dyDescent="0.25">
      <c r="A82">
        <v>4000000</v>
      </c>
      <c r="B82">
        <v>945</v>
      </c>
      <c r="C82">
        <v>15378002192</v>
      </c>
      <c r="D82">
        <v>983</v>
      </c>
      <c r="F82">
        <v>4000000</v>
      </c>
      <c r="G82">
        <v>947</v>
      </c>
      <c r="H82">
        <v>34908006232</v>
      </c>
      <c r="I82">
        <v>2385</v>
      </c>
      <c r="K82">
        <v>4000000</v>
      </c>
      <c r="L82">
        <v>969</v>
      </c>
      <c r="M82">
        <v>54438010272</v>
      </c>
      <c r="N82">
        <v>3804</v>
      </c>
      <c r="P82">
        <v>4000000</v>
      </c>
      <c r="Q82">
        <v>941</v>
      </c>
      <c r="R82">
        <v>73968014312</v>
      </c>
      <c r="S82">
        <v>5202</v>
      </c>
      <c r="U82">
        <v>4000000</v>
      </c>
      <c r="V82">
        <v>953</v>
      </c>
      <c r="W82">
        <v>93498018352</v>
      </c>
      <c r="X82">
        <v>6658</v>
      </c>
      <c r="Z82">
        <v>4000000</v>
      </c>
      <c r="AA82">
        <f t="shared" si="9"/>
        <v>951</v>
      </c>
      <c r="AB82">
        <f t="shared" si="10"/>
        <v>54438010272</v>
      </c>
      <c r="AC82">
        <f t="shared" si="11"/>
        <v>3806.4</v>
      </c>
    </row>
    <row r="83" spans="1:29" x14ac:dyDescent="0.25">
      <c r="A83">
        <v>4500000</v>
      </c>
      <c r="B83">
        <v>1087</v>
      </c>
      <c r="C83">
        <v>15495002246</v>
      </c>
      <c r="D83">
        <v>999</v>
      </c>
      <c r="F83">
        <v>4500000</v>
      </c>
      <c r="G83">
        <v>1057</v>
      </c>
      <c r="H83">
        <v>35025006286</v>
      </c>
      <c r="I83">
        <v>2401</v>
      </c>
      <c r="K83">
        <v>4500000</v>
      </c>
      <c r="L83">
        <v>1069</v>
      </c>
      <c r="M83">
        <v>54555010326</v>
      </c>
      <c r="N83">
        <v>3819</v>
      </c>
      <c r="P83">
        <v>4500000</v>
      </c>
      <c r="Q83">
        <v>1066</v>
      </c>
      <c r="R83">
        <v>74085014366</v>
      </c>
      <c r="S83">
        <v>5221</v>
      </c>
      <c r="U83">
        <v>4500000</v>
      </c>
      <c r="V83">
        <v>1042</v>
      </c>
      <c r="W83">
        <v>93615018406</v>
      </c>
      <c r="X83">
        <v>6669</v>
      </c>
      <c r="Z83">
        <v>4500000</v>
      </c>
      <c r="AA83">
        <f t="shared" si="9"/>
        <v>1064.2</v>
      </c>
      <c r="AB83">
        <f t="shared" si="10"/>
        <v>54555010326</v>
      </c>
      <c r="AC83">
        <f t="shared" si="11"/>
        <v>3821.8</v>
      </c>
    </row>
    <row r="84" spans="1:29" x14ac:dyDescent="0.25">
      <c r="A84">
        <v>5000000</v>
      </c>
      <c r="B84">
        <v>1204</v>
      </c>
      <c r="C84">
        <v>15625002300</v>
      </c>
      <c r="D84">
        <v>1021</v>
      </c>
      <c r="F84">
        <v>5000000</v>
      </c>
      <c r="G84">
        <v>1176</v>
      </c>
      <c r="H84">
        <v>35155006340</v>
      </c>
      <c r="I84">
        <v>2422</v>
      </c>
      <c r="K84">
        <v>5000000</v>
      </c>
      <c r="L84">
        <v>1194</v>
      </c>
      <c r="M84">
        <v>54685010380</v>
      </c>
      <c r="N84">
        <v>3838</v>
      </c>
      <c r="P84">
        <v>5000000</v>
      </c>
      <c r="Q84">
        <v>1207</v>
      </c>
      <c r="R84">
        <v>74215014420</v>
      </c>
      <c r="S84">
        <v>5242</v>
      </c>
      <c r="U84">
        <v>5000000</v>
      </c>
      <c r="V84">
        <v>1195</v>
      </c>
      <c r="W84">
        <v>93745018460</v>
      </c>
      <c r="X84">
        <v>6684</v>
      </c>
      <c r="Z84">
        <v>5000000</v>
      </c>
      <c r="AA84">
        <f t="shared" si="9"/>
        <v>1195.2</v>
      </c>
      <c r="AB84">
        <f t="shared" si="10"/>
        <v>54685010380</v>
      </c>
      <c r="AC84">
        <f t="shared" si="11"/>
        <v>3841.4</v>
      </c>
    </row>
    <row r="85" spans="1:29" x14ac:dyDescent="0.25">
      <c r="A85">
        <v>5500000</v>
      </c>
      <c r="B85">
        <v>1326</v>
      </c>
      <c r="C85">
        <v>15768002354</v>
      </c>
      <c r="D85">
        <v>1042</v>
      </c>
      <c r="F85">
        <v>5500000</v>
      </c>
      <c r="G85">
        <v>1304</v>
      </c>
      <c r="H85">
        <v>35298006394</v>
      </c>
      <c r="I85">
        <v>2441</v>
      </c>
      <c r="K85">
        <v>5500000</v>
      </c>
      <c r="L85">
        <v>1340</v>
      </c>
      <c r="M85">
        <v>54828010434</v>
      </c>
      <c r="N85">
        <v>3853</v>
      </c>
      <c r="P85">
        <v>5500000</v>
      </c>
      <c r="Q85">
        <v>1328</v>
      </c>
      <c r="R85">
        <v>74358014474</v>
      </c>
      <c r="S85">
        <v>5258</v>
      </c>
      <c r="U85">
        <v>5500000</v>
      </c>
      <c r="V85">
        <v>1299</v>
      </c>
      <c r="W85">
        <v>93888018514</v>
      </c>
      <c r="X85">
        <v>6698</v>
      </c>
      <c r="Z85">
        <v>5500000</v>
      </c>
      <c r="AA85">
        <f t="shared" si="9"/>
        <v>1319.4</v>
      </c>
      <c r="AB85">
        <f t="shared" si="10"/>
        <v>54828010434</v>
      </c>
      <c r="AC85">
        <f t="shared" si="11"/>
        <v>3858.4</v>
      </c>
    </row>
    <row r="86" spans="1:29" x14ac:dyDescent="0.25">
      <c r="A86">
        <v>6000000</v>
      </c>
      <c r="B86">
        <v>1440</v>
      </c>
      <c r="C86">
        <v>15924002408</v>
      </c>
      <c r="D86">
        <v>1059</v>
      </c>
      <c r="F86">
        <v>6000000</v>
      </c>
      <c r="G86">
        <v>1413</v>
      </c>
      <c r="H86">
        <v>35454006448</v>
      </c>
      <c r="I86">
        <v>2453</v>
      </c>
      <c r="K86">
        <v>6000000</v>
      </c>
      <c r="L86">
        <v>1442</v>
      </c>
      <c r="M86">
        <v>54984010488</v>
      </c>
      <c r="N86">
        <v>3866</v>
      </c>
      <c r="P86">
        <v>6000000</v>
      </c>
      <c r="Q86">
        <v>1443</v>
      </c>
      <c r="R86">
        <v>74514014528</v>
      </c>
      <c r="S86">
        <v>5273</v>
      </c>
      <c r="U86">
        <v>6000000</v>
      </c>
      <c r="V86">
        <v>1398</v>
      </c>
      <c r="W86">
        <v>94044018568</v>
      </c>
      <c r="X86">
        <v>6712</v>
      </c>
      <c r="Z86">
        <v>6000000</v>
      </c>
      <c r="AA86">
        <f t="shared" si="9"/>
        <v>1427.2</v>
      </c>
      <c r="AB86">
        <f t="shared" si="10"/>
        <v>54984010488</v>
      </c>
      <c r="AC86">
        <f t="shared" si="11"/>
        <v>3872.6</v>
      </c>
    </row>
    <row r="87" spans="1:29" x14ac:dyDescent="0.25">
      <c r="A87">
        <v>6500000</v>
      </c>
      <c r="B87">
        <v>1559</v>
      </c>
      <c r="C87">
        <v>16093002462</v>
      </c>
      <c r="D87">
        <v>1083</v>
      </c>
      <c r="F87">
        <v>6500000</v>
      </c>
      <c r="G87">
        <v>1526</v>
      </c>
      <c r="H87">
        <v>35623006502</v>
      </c>
      <c r="I87">
        <v>2466</v>
      </c>
      <c r="K87">
        <v>6500000</v>
      </c>
      <c r="L87">
        <v>1505</v>
      </c>
      <c r="M87">
        <v>55153010542</v>
      </c>
      <c r="N87">
        <v>3887</v>
      </c>
      <c r="P87">
        <v>6500000</v>
      </c>
      <c r="Q87">
        <v>1551</v>
      </c>
      <c r="R87">
        <v>74683014582</v>
      </c>
      <c r="S87">
        <v>5290</v>
      </c>
      <c r="U87">
        <v>6500000</v>
      </c>
      <c r="V87">
        <v>1511</v>
      </c>
      <c r="W87">
        <v>94213018622</v>
      </c>
      <c r="X87">
        <v>6725</v>
      </c>
      <c r="Z87">
        <v>6500000</v>
      </c>
      <c r="AA87">
        <f t="shared" si="9"/>
        <v>1530.4</v>
      </c>
      <c r="AB87">
        <f t="shared" si="10"/>
        <v>55153010542</v>
      </c>
      <c r="AC87">
        <f t="shared" si="11"/>
        <v>3890.2</v>
      </c>
    </row>
    <row r="88" spans="1:29" x14ac:dyDescent="0.25">
      <c r="A88">
        <v>7000000</v>
      </c>
      <c r="B88">
        <v>1683</v>
      </c>
      <c r="C88">
        <v>16275002516</v>
      </c>
      <c r="D88">
        <v>1097</v>
      </c>
      <c r="F88">
        <v>7000000</v>
      </c>
      <c r="G88">
        <v>1654</v>
      </c>
      <c r="H88">
        <v>35805006556</v>
      </c>
      <c r="I88">
        <v>2479</v>
      </c>
      <c r="K88">
        <v>7000000</v>
      </c>
      <c r="L88">
        <v>1638</v>
      </c>
      <c r="M88">
        <v>55335010596</v>
      </c>
      <c r="N88">
        <v>3898</v>
      </c>
      <c r="P88">
        <v>7000000</v>
      </c>
      <c r="Q88">
        <v>1676</v>
      </c>
      <c r="R88">
        <v>74865014636</v>
      </c>
      <c r="S88">
        <v>5299</v>
      </c>
      <c r="U88">
        <v>7000000</v>
      </c>
      <c r="V88">
        <v>1648</v>
      </c>
      <c r="W88">
        <v>94395018676</v>
      </c>
      <c r="X88">
        <v>6732</v>
      </c>
      <c r="Z88">
        <v>7000000</v>
      </c>
      <c r="AA88">
        <f t="shared" si="9"/>
        <v>1659.8</v>
      </c>
      <c r="AB88">
        <f t="shared" si="10"/>
        <v>55335010596</v>
      </c>
      <c r="AC88">
        <f t="shared" si="11"/>
        <v>3901</v>
      </c>
    </row>
    <row r="89" spans="1:29" x14ac:dyDescent="0.25">
      <c r="A89">
        <v>7500000</v>
      </c>
      <c r="B89">
        <v>1779</v>
      </c>
      <c r="C89">
        <v>16470002570</v>
      </c>
      <c r="D89">
        <v>1109</v>
      </c>
      <c r="F89">
        <v>7500000</v>
      </c>
      <c r="G89">
        <v>1789</v>
      </c>
      <c r="H89">
        <v>36000006610</v>
      </c>
      <c r="I89">
        <v>2496</v>
      </c>
      <c r="K89">
        <v>7500000</v>
      </c>
      <c r="L89">
        <v>1776</v>
      </c>
      <c r="M89">
        <v>55530010650</v>
      </c>
      <c r="N89">
        <v>3918</v>
      </c>
      <c r="P89">
        <v>7500000</v>
      </c>
      <c r="Q89">
        <v>1767</v>
      </c>
      <c r="R89">
        <v>75060014690</v>
      </c>
      <c r="S89">
        <v>5317</v>
      </c>
      <c r="U89">
        <v>7500000</v>
      </c>
      <c r="V89">
        <v>1766</v>
      </c>
      <c r="W89">
        <v>94590018730</v>
      </c>
      <c r="X89">
        <v>6744</v>
      </c>
      <c r="Z89">
        <v>7500000</v>
      </c>
      <c r="AA89">
        <f t="shared" si="9"/>
        <v>1775.4</v>
      </c>
      <c r="AB89">
        <f t="shared" si="10"/>
        <v>55530010650</v>
      </c>
      <c r="AC89">
        <f t="shared" si="11"/>
        <v>3916.8</v>
      </c>
    </row>
    <row r="90" spans="1:29" x14ac:dyDescent="0.25">
      <c r="A90">
        <v>8000000</v>
      </c>
      <c r="B90">
        <v>1891</v>
      </c>
      <c r="C90">
        <v>16678002624</v>
      </c>
      <c r="D90">
        <v>1122</v>
      </c>
      <c r="F90">
        <v>8000000</v>
      </c>
      <c r="G90">
        <v>1896</v>
      </c>
      <c r="H90">
        <v>36208006664</v>
      </c>
      <c r="I90">
        <v>2511</v>
      </c>
      <c r="K90">
        <v>8000000</v>
      </c>
      <c r="L90">
        <v>1878</v>
      </c>
      <c r="M90">
        <v>55738010704</v>
      </c>
      <c r="N90">
        <v>3937</v>
      </c>
      <c r="P90">
        <v>8000000</v>
      </c>
      <c r="Q90">
        <v>1893</v>
      </c>
      <c r="R90">
        <v>75268014744</v>
      </c>
      <c r="S90">
        <v>5330</v>
      </c>
      <c r="U90">
        <v>8000000</v>
      </c>
      <c r="V90">
        <v>1884</v>
      </c>
      <c r="W90">
        <v>94798018784</v>
      </c>
      <c r="X90">
        <v>6759</v>
      </c>
      <c r="Z90">
        <v>8000000</v>
      </c>
      <c r="AA90">
        <f t="shared" si="9"/>
        <v>1888.4</v>
      </c>
      <c r="AB90">
        <f t="shared" si="10"/>
        <v>55738010704</v>
      </c>
      <c r="AC90">
        <f t="shared" si="11"/>
        <v>3931.8</v>
      </c>
    </row>
    <row r="91" spans="1:29" x14ac:dyDescent="0.25">
      <c r="A91">
        <v>8500000</v>
      </c>
      <c r="B91">
        <v>2003</v>
      </c>
      <c r="C91">
        <v>16899002678</v>
      </c>
      <c r="D91">
        <v>1140</v>
      </c>
      <c r="F91">
        <v>8500000</v>
      </c>
      <c r="G91">
        <v>2014</v>
      </c>
      <c r="H91">
        <v>36429006718</v>
      </c>
      <c r="I91">
        <v>2530</v>
      </c>
      <c r="K91">
        <v>8500000</v>
      </c>
      <c r="L91">
        <v>1987</v>
      </c>
      <c r="M91">
        <v>55959010758</v>
      </c>
      <c r="N91">
        <v>3951</v>
      </c>
      <c r="P91">
        <v>8500000</v>
      </c>
      <c r="Q91">
        <v>2018</v>
      </c>
      <c r="R91">
        <v>75489014798</v>
      </c>
      <c r="S91">
        <v>5351</v>
      </c>
      <c r="U91">
        <v>8500000</v>
      </c>
      <c r="V91">
        <v>2005</v>
      </c>
      <c r="W91">
        <v>95019018838</v>
      </c>
      <c r="X91">
        <v>6775</v>
      </c>
      <c r="Z91">
        <v>8500000</v>
      </c>
      <c r="AA91">
        <f t="shared" si="9"/>
        <v>2005.4</v>
      </c>
      <c r="AB91">
        <f t="shared" si="10"/>
        <v>55959010758</v>
      </c>
      <c r="AC91">
        <f t="shared" si="11"/>
        <v>3949.4</v>
      </c>
    </row>
    <row r="92" spans="1:29" x14ac:dyDescent="0.25">
      <c r="A92">
        <v>9000000</v>
      </c>
      <c r="B92">
        <v>2141</v>
      </c>
      <c r="C92">
        <v>17133002732</v>
      </c>
      <c r="D92">
        <v>1159</v>
      </c>
      <c r="F92">
        <v>9000000</v>
      </c>
      <c r="G92">
        <v>2139</v>
      </c>
      <c r="H92">
        <v>36663006772</v>
      </c>
      <c r="I92">
        <v>2545</v>
      </c>
      <c r="K92">
        <v>9000000</v>
      </c>
      <c r="L92">
        <v>2110</v>
      </c>
      <c r="M92">
        <v>56193010812</v>
      </c>
      <c r="N92">
        <v>3965</v>
      </c>
      <c r="P92">
        <v>9000000</v>
      </c>
      <c r="Q92">
        <v>2087</v>
      </c>
      <c r="R92">
        <v>75723014852</v>
      </c>
      <c r="S92">
        <v>5373</v>
      </c>
      <c r="U92">
        <v>9000000</v>
      </c>
      <c r="V92">
        <v>2076</v>
      </c>
      <c r="W92">
        <v>95253018892</v>
      </c>
      <c r="X92">
        <v>6793</v>
      </c>
      <c r="Z92">
        <v>9000000</v>
      </c>
      <c r="AA92">
        <f t="shared" si="9"/>
        <v>2110.6</v>
      </c>
      <c r="AB92">
        <f t="shared" si="10"/>
        <v>56193010812</v>
      </c>
      <c r="AC92">
        <f t="shared" si="11"/>
        <v>3967</v>
      </c>
    </row>
    <row r="93" spans="1:29" x14ac:dyDescent="0.25">
      <c r="A93">
        <v>9500000</v>
      </c>
      <c r="B93">
        <v>2285</v>
      </c>
      <c r="C93">
        <v>17380002786</v>
      </c>
      <c r="D93">
        <v>1185</v>
      </c>
      <c r="F93">
        <v>9500000</v>
      </c>
      <c r="G93">
        <v>2258</v>
      </c>
      <c r="H93">
        <v>36910006826</v>
      </c>
      <c r="I93">
        <v>2557</v>
      </c>
      <c r="K93">
        <v>9500000</v>
      </c>
      <c r="L93">
        <v>2212</v>
      </c>
      <c r="M93">
        <v>56440010866</v>
      </c>
      <c r="N93">
        <v>3980</v>
      </c>
      <c r="P93">
        <v>9500000</v>
      </c>
      <c r="Q93">
        <v>2254</v>
      </c>
      <c r="R93">
        <v>75970014906</v>
      </c>
      <c r="S93">
        <v>5387</v>
      </c>
      <c r="U93">
        <v>9500000</v>
      </c>
      <c r="V93">
        <v>2084</v>
      </c>
      <c r="W93">
        <v>95500018946</v>
      </c>
      <c r="X93">
        <v>6810</v>
      </c>
      <c r="Z93">
        <v>9500000</v>
      </c>
      <c r="AA93">
        <f t="shared" si="9"/>
        <v>2218.6</v>
      </c>
      <c r="AB93">
        <f t="shared" si="10"/>
        <v>56440010866</v>
      </c>
      <c r="AC93">
        <f t="shared" si="11"/>
        <v>3983.8</v>
      </c>
    </row>
    <row r="94" spans="1:29" x14ac:dyDescent="0.25">
      <c r="A94">
        <v>10000000</v>
      </c>
      <c r="B94">
        <v>2399</v>
      </c>
      <c r="C94">
        <v>17640002840</v>
      </c>
      <c r="D94">
        <v>1205</v>
      </c>
      <c r="F94">
        <v>10000000</v>
      </c>
      <c r="G94">
        <v>2333</v>
      </c>
      <c r="H94">
        <v>37170006880</v>
      </c>
      <c r="I94">
        <v>2575</v>
      </c>
      <c r="K94">
        <v>10000000</v>
      </c>
      <c r="L94">
        <v>2313</v>
      </c>
      <c r="M94">
        <v>56700010920</v>
      </c>
      <c r="N94">
        <v>3992</v>
      </c>
      <c r="P94">
        <v>10000000</v>
      </c>
      <c r="Q94">
        <v>2361</v>
      </c>
      <c r="R94">
        <v>76230014960</v>
      </c>
      <c r="S94">
        <v>5401</v>
      </c>
      <c r="U94">
        <v>10000000</v>
      </c>
      <c r="V94">
        <v>2370</v>
      </c>
      <c r="W94">
        <v>95760019000</v>
      </c>
      <c r="X94">
        <v>6820</v>
      </c>
      <c r="Z94">
        <v>10000000</v>
      </c>
      <c r="AA94">
        <f t="shared" si="9"/>
        <v>2355.1999999999998</v>
      </c>
      <c r="AB94">
        <f t="shared" si="10"/>
        <v>56700010920</v>
      </c>
      <c r="AC94">
        <f t="shared" si="11"/>
        <v>3998.6</v>
      </c>
    </row>
    <row r="97" spans="1:29" x14ac:dyDescent="0.25">
      <c r="A97" s="3" t="s">
        <v>42</v>
      </c>
      <c r="B97" s="3"/>
      <c r="C97" s="3"/>
      <c r="D97" s="3"/>
      <c r="F97" s="3" t="s">
        <v>42</v>
      </c>
      <c r="G97" s="3"/>
      <c r="H97" s="3"/>
      <c r="I97" s="3"/>
      <c r="K97" s="3" t="s">
        <v>42</v>
      </c>
      <c r="L97" s="3"/>
      <c r="M97" s="3"/>
      <c r="N97" s="3"/>
      <c r="P97" s="3" t="s">
        <v>42</v>
      </c>
      <c r="Q97" s="3"/>
      <c r="R97" s="3"/>
      <c r="S97" s="3"/>
      <c r="U97" s="3" t="s">
        <v>42</v>
      </c>
      <c r="V97" s="3"/>
      <c r="W97" s="3"/>
      <c r="X97" s="3"/>
      <c r="Z97" s="3" t="s">
        <v>43</v>
      </c>
      <c r="AA97" s="3"/>
      <c r="AB97" s="3"/>
      <c r="AC97" s="3"/>
    </row>
    <row r="98" spans="1:29" x14ac:dyDescent="0.25">
      <c r="A98" t="s">
        <v>24</v>
      </c>
      <c r="B98" t="s">
        <v>25</v>
      </c>
      <c r="C98" t="s">
        <v>26</v>
      </c>
      <c r="D98" t="s">
        <v>27</v>
      </c>
      <c r="F98" t="s">
        <v>24</v>
      </c>
      <c r="G98" t="s">
        <v>25</v>
      </c>
      <c r="H98" t="s">
        <v>26</v>
      </c>
      <c r="I98" t="s">
        <v>27</v>
      </c>
      <c r="K98" t="s">
        <v>24</v>
      </c>
      <c r="L98" t="s">
        <v>25</v>
      </c>
      <c r="M98" t="s">
        <v>26</v>
      </c>
      <c r="N98" t="s">
        <v>27</v>
      </c>
      <c r="P98" t="s">
        <v>24</v>
      </c>
      <c r="Q98" t="s">
        <v>25</v>
      </c>
      <c r="R98" t="s">
        <v>26</v>
      </c>
      <c r="S98" t="s">
        <v>27</v>
      </c>
      <c r="U98" t="s">
        <v>24</v>
      </c>
      <c r="V98" t="s">
        <v>25</v>
      </c>
      <c r="W98" t="s">
        <v>26</v>
      </c>
      <c r="X98" t="s">
        <v>27</v>
      </c>
      <c r="Z98" t="s">
        <v>24</v>
      </c>
      <c r="AA98" t="s">
        <v>25</v>
      </c>
      <c r="AB98" t="s">
        <v>26</v>
      </c>
      <c r="AC98" t="s">
        <v>27</v>
      </c>
    </row>
    <row r="99" spans="1:29" x14ac:dyDescent="0.25">
      <c r="A99">
        <v>500000</v>
      </c>
      <c r="B99">
        <v>83</v>
      </c>
      <c r="C99">
        <v>17649002900</v>
      </c>
      <c r="D99">
        <v>1216</v>
      </c>
      <c r="F99">
        <v>500000</v>
      </c>
      <c r="G99">
        <v>80</v>
      </c>
      <c r="H99">
        <v>37179006940</v>
      </c>
      <c r="I99">
        <v>2591</v>
      </c>
      <c r="K99">
        <v>500000</v>
      </c>
      <c r="L99">
        <v>80</v>
      </c>
      <c r="M99">
        <v>56709010980</v>
      </c>
      <c r="N99">
        <v>4006</v>
      </c>
      <c r="P99">
        <v>500000</v>
      </c>
      <c r="Q99">
        <v>80</v>
      </c>
      <c r="R99">
        <v>76239015020</v>
      </c>
      <c r="S99">
        <v>5409</v>
      </c>
      <c r="U99">
        <v>500000</v>
      </c>
      <c r="V99">
        <v>81</v>
      </c>
      <c r="W99">
        <v>95769019060</v>
      </c>
      <c r="X99">
        <v>6827</v>
      </c>
      <c r="Z99">
        <v>500000</v>
      </c>
      <c r="AA99">
        <f t="shared" ref="AA99:AA118" si="12">AVERAGE(B99,G99,L99,Q99,V99)</f>
        <v>80.8</v>
      </c>
      <c r="AB99">
        <f t="shared" ref="AB99:AB118" si="13">AVERAGE(C99,H99,M99,R99,W99)</f>
        <v>56709010980</v>
      </c>
      <c r="AC99">
        <f t="shared" ref="AC99:AC118" si="14">AVERAGE(D99,I99,N99,S99,X99)</f>
        <v>4009.8</v>
      </c>
    </row>
    <row r="100" spans="1:29" x14ac:dyDescent="0.25">
      <c r="A100">
        <v>1000000</v>
      </c>
      <c r="B100">
        <v>159</v>
      </c>
      <c r="C100">
        <v>17667002960</v>
      </c>
      <c r="D100">
        <v>1239</v>
      </c>
      <c r="F100">
        <v>1000000</v>
      </c>
      <c r="G100">
        <v>156</v>
      </c>
      <c r="H100">
        <v>37197007000</v>
      </c>
      <c r="I100">
        <v>2604</v>
      </c>
      <c r="K100">
        <v>1000000</v>
      </c>
      <c r="L100">
        <v>159</v>
      </c>
      <c r="M100">
        <v>56727011040</v>
      </c>
      <c r="N100">
        <v>4022</v>
      </c>
      <c r="P100">
        <v>1000000</v>
      </c>
      <c r="Q100">
        <v>156</v>
      </c>
      <c r="R100">
        <v>76257015080</v>
      </c>
      <c r="S100">
        <v>5422</v>
      </c>
      <c r="U100">
        <v>1000000</v>
      </c>
      <c r="V100">
        <v>156</v>
      </c>
      <c r="W100">
        <v>95787019120</v>
      </c>
      <c r="X100">
        <v>6842</v>
      </c>
      <c r="Z100">
        <v>1000000</v>
      </c>
      <c r="AA100">
        <f t="shared" si="12"/>
        <v>157.19999999999999</v>
      </c>
      <c r="AB100">
        <f t="shared" si="13"/>
        <v>56727011040</v>
      </c>
      <c r="AC100">
        <f t="shared" si="14"/>
        <v>4025.8</v>
      </c>
    </row>
    <row r="101" spans="1:29" x14ac:dyDescent="0.25">
      <c r="A101">
        <v>1500000</v>
      </c>
      <c r="B101">
        <v>261</v>
      </c>
      <c r="C101">
        <v>17694003020</v>
      </c>
      <c r="D101">
        <v>1253</v>
      </c>
      <c r="F101">
        <v>1500000</v>
      </c>
      <c r="G101">
        <v>233</v>
      </c>
      <c r="H101">
        <v>37224007060</v>
      </c>
      <c r="I101">
        <v>2615</v>
      </c>
      <c r="K101">
        <v>1500000</v>
      </c>
      <c r="L101">
        <v>233</v>
      </c>
      <c r="M101">
        <v>56754011100</v>
      </c>
      <c r="N101">
        <v>4034</v>
      </c>
      <c r="P101">
        <v>1500000</v>
      </c>
      <c r="Q101">
        <v>240</v>
      </c>
      <c r="R101">
        <v>76284015140</v>
      </c>
      <c r="S101">
        <v>5439</v>
      </c>
      <c r="U101">
        <v>1500000</v>
      </c>
      <c r="V101">
        <v>231</v>
      </c>
      <c r="W101">
        <v>95814019180</v>
      </c>
      <c r="X101">
        <v>6855</v>
      </c>
      <c r="Z101">
        <v>1500000</v>
      </c>
      <c r="AA101">
        <f t="shared" si="12"/>
        <v>239.6</v>
      </c>
      <c r="AB101">
        <f t="shared" si="13"/>
        <v>56754011100</v>
      </c>
      <c r="AC101">
        <f t="shared" si="14"/>
        <v>4039.2</v>
      </c>
    </row>
    <row r="102" spans="1:29" x14ac:dyDescent="0.25">
      <c r="A102">
        <v>2000000</v>
      </c>
      <c r="B102">
        <v>315</v>
      </c>
      <c r="C102">
        <v>17730003080</v>
      </c>
      <c r="D102">
        <v>1266</v>
      </c>
      <c r="F102">
        <v>2000000</v>
      </c>
      <c r="G102">
        <v>310</v>
      </c>
      <c r="H102">
        <v>37260007120</v>
      </c>
      <c r="I102">
        <v>2628</v>
      </c>
      <c r="K102">
        <v>2000000</v>
      </c>
      <c r="L102">
        <v>312</v>
      </c>
      <c r="M102">
        <v>56790011160</v>
      </c>
      <c r="N102">
        <v>4042</v>
      </c>
      <c r="P102">
        <v>2000000</v>
      </c>
      <c r="Q102">
        <v>323</v>
      </c>
      <c r="R102">
        <v>76320015200</v>
      </c>
      <c r="S102">
        <v>5450</v>
      </c>
      <c r="U102">
        <v>2000000</v>
      </c>
      <c r="V102">
        <v>326</v>
      </c>
      <c r="W102">
        <v>95850019240</v>
      </c>
      <c r="X102">
        <v>6866</v>
      </c>
      <c r="Z102">
        <v>2000000</v>
      </c>
      <c r="AA102">
        <f t="shared" si="12"/>
        <v>317.2</v>
      </c>
      <c r="AB102">
        <f t="shared" si="13"/>
        <v>56790011160</v>
      </c>
      <c r="AC102">
        <f t="shared" si="14"/>
        <v>4050.4</v>
      </c>
    </row>
    <row r="103" spans="1:29" x14ac:dyDescent="0.25">
      <c r="A103">
        <v>2500000</v>
      </c>
      <c r="B103">
        <v>396</v>
      </c>
      <c r="C103">
        <v>17775003140</v>
      </c>
      <c r="D103">
        <v>1276</v>
      </c>
      <c r="F103">
        <v>2500000</v>
      </c>
      <c r="G103">
        <v>380</v>
      </c>
      <c r="H103">
        <v>37305007180</v>
      </c>
      <c r="I103">
        <v>2638</v>
      </c>
      <c r="K103">
        <v>2500000</v>
      </c>
      <c r="L103">
        <v>400</v>
      </c>
      <c r="M103">
        <v>56835011220</v>
      </c>
      <c r="N103">
        <v>4061</v>
      </c>
      <c r="P103">
        <v>2500000</v>
      </c>
      <c r="Q103">
        <v>391</v>
      </c>
      <c r="R103">
        <v>76365015260</v>
      </c>
      <c r="S103">
        <v>5462</v>
      </c>
      <c r="U103">
        <v>2500000</v>
      </c>
      <c r="V103">
        <v>402</v>
      </c>
      <c r="W103">
        <v>95895019300</v>
      </c>
      <c r="X103">
        <v>6881</v>
      </c>
      <c r="Z103">
        <v>2500000</v>
      </c>
      <c r="AA103">
        <f t="shared" si="12"/>
        <v>393.8</v>
      </c>
      <c r="AB103">
        <f t="shared" si="13"/>
        <v>56835011220</v>
      </c>
      <c r="AC103">
        <f t="shared" si="14"/>
        <v>4063.6</v>
      </c>
    </row>
    <row r="104" spans="1:29" x14ac:dyDescent="0.25">
      <c r="A104">
        <v>3000000</v>
      </c>
      <c r="B104">
        <v>478</v>
      </c>
      <c r="C104">
        <v>17829003200</v>
      </c>
      <c r="D104">
        <v>1287</v>
      </c>
      <c r="F104">
        <v>3000000</v>
      </c>
      <c r="G104">
        <v>466</v>
      </c>
      <c r="H104">
        <v>37359007240</v>
      </c>
      <c r="I104">
        <v>2662</v>
      </c>
      <c r="K104">
        <v>3000000</v>
      </c>
      <c r="L104">
        <v>478</v>
      </c>
      <c r="M104">
        <v>56889011280</v>
      </c>
      <c r="N104">
        <v>4071</v>
      </c>
      <c r="P104">
        <v>3000000</v>
      </c>
      <c r="Q104">
        <v>480</v>
      </c>
      <c r="R104">
        <v>76419015320</v>
      </c>
      <c r="S104">
        <v>5475</v>
      </c>
      <c r="U104">
        <v>3000000</v>
      </c>
      <c r="V104">
        <v>482</v>
      </c>
      <c r="W104">
        <v>95949019360</v>
      </c>
      <c r="X104">
        <v>6897</v>
      </c>
      <c r="Z104">
        <v>3000000</v>
      </c>
      <c r="AA104">
        <f t="shared" si="12"/>
        <v>476.8</v>
      </c>
      <c r="AB104">
        <f t="shared" si="13"/>
        <v>56889011280</v>
      </c>
      <c r="AC104">
        <f t="shared" si="14"/>
        <v>4078.4</v>
      </c>
    </row>
    <row r="105" spans="1:29" x14ac:dyDescent="0.25">
      <c r="A105">
        <v>3500000</v>
      </c>
      <c r="B105">
        <v>545</v>
      </c>
      <c r="C105">
        <v>17892003260</v>
      </c>
      <c r="D105">
        <v>1298</v>
      </c>
      <c r="F105">
        <v>3500000</v>
      </c>
      <c r="G105">
        <v>549</v>
      </c>
      <c r="H105">
        <v>37422007300</v>
      </c>
      <c r="I105">
        <v>2679</v>
      </c>
      <c r="K105">
        <v>3500000</v>
      </c>
      <c r="L105">
        <v>560</v>
      </c>
      <c r="M105">
        <v>56952011340</v>
      </c>
      <c r="N105">
        <v>4081</v>
      </c>
      <c r="P105">
        <v>3500000</v>
      </c>
      <c r="Q105">
        <v>562</v>
      </c>
      <c r="R105">
        <v>76482015380</v>
      </c>
      <c r="S105">
        <v>5486</v>
      </c>
      <c r="U105">
        <v>3500000</v>
      </c>
      <c r="V105">
        <v>562</v>
      </c>
      <c r="W105">
        <v>96012019420</v>
      </c>
      <c r="X105">
        <v>6908</v>
      </c>
      <c r="Z105">
        <v>3500000</v>
      </c>
      <c r="AA105">
        <f t="shared" si="12"/>
        <v>555.6</v>
      </c>
      <c r="AB105">
        <f t="shared" si="13"/>
        <v>56952011340</v>
      </c>
      <c r="AC105">
        <f t="shared" si="14"/>
        <v>4090.4</v>
      </c>
    </row>
    <row r="106" spans="1:29" x14ac:dyDescent="0.25">
      <c r="A106">
        <v>4000000</v>
      </c>
      <c r="B106">
        <v>644</v>
      </c>
      <c r="C106">
        <v>17964003320</v>
      </c>
      <c r="D106">
        <v>1314</v>
      </c>
      <c r="F106">
        <v>4000000</v>
      </c>
      <c r="G106">
        <v>635</v>
      </c>
      <c r="H106">
        <v>37494007360</v>
      </c>
      <c r="I106">
        <v>2692</v>
      </c>
      <c r="K106">
        <v>4000000</v>
      </c>
      <c r="L106">
        <v>635</v>
      </c>
      <c r="M106">
        <v>57024011400</v>
      </c>
      <c r="N106">
        <v>4091</v>
      </c>
      <c r="P106">
        <v>4000000</v>
      </c>
      <c r="Q106">
        <v>636</v>
      </c>
      <c r="R106">
        <v>76554015440</v>
      </c>
      <c r="S106">
        <v>5497</v>
      </c>
      <c r="U106">
        <v>4000000</v>
      </c>
      <c r="V106">
        <v>644</v>
      </c>
      <c r="W106">
        <v>96084019480</v>
      </c>
      <c r="X106">
        <v>6924</v>
      </c>
      <c r="Z106">
        <v>4000000</v>
      </c>
      <c r="AA106">
        <f t="shared" si="12"/>
        <v>638.79999999999995</v>
      </c>
      <c r="AB106">
        <f t="shared" si="13"/>
        <v>57024011400</v>
      </c>
      <c r="AC106">
        <f t="shared" si="14"/>
        <v>4103.6000000000004</v>
      </c>
    </row>
    <row r="107" spans="1:29" x14ac:dyDescent="0.25">
      <c r="A107">
        <v>4500000</v>
      </c>
      <c r="B107">
        <v>736</v>
      </c>
      <c r="C107">
        <v>18045003380</v>
      </c>
      <c r="D107">
        <v>1331</v>
      </c>
      <c r="F107">
        <v>4500000</v>
      </c>
      <c r="G107">
        <v>710</v>
      </c>
      <c r="H107">
        <v>37575007420</v>
      </c>
      <c r="I107">
        <v>2706</v>
      </c>
      <c r="K107">
        <v>4500000</v>
      </c>
      <c r="L107">
        <v>726</v>
      </c>
      <c r="M107">
        <v>57105011460</v>
      </c>
      <c r="N107">
        <v>4107</v>
      </c>
      <c r="P107">
        <v>4500000</v>
      </c>
      <c r="Q107">
        <v>713</v>
      </c>
      <c r="R107">
        <v>76635015500</v>
      </c>
      <c r="S107">
        <v>5508</v>
      </c>
      <c r="U107">
        <v>4500000</v>
      </c>
      <c r="V107">
        <v>723</v>
      </c>
      <c r="W107">
        <v>96165019540</v>
      </c>
      <c r="X107">
        <v>6933</v>
      </c>
      <c r="Z107">
        <v>4500000</v>
      </c>
      <c r="AA107">
        <f t="shared" si="12"/>
        <v>721.6</v>
      </c>
      <c r="AB107">
        <f t="shared" si="13"/>
        <v>57105011460</v>
      </c>
      <c r="AC107">
        <f t="shared" si="14"/>
        <v>4117</v>
      </c>
    </row>
    <row r="108" spans="1:29" x14ac:dyDescent="0.25">
      <c r="A108">
        <v>5000000</v>
      </c>
      <c r="B108">
        <v>800</v>
      </c>
      <c r="C108">
        <v>18135003440</v>
      </c>
      <c r="D108">
        <v>1344</v>
      </c>
      <c r="F108">
        <v>5000000</v>
      </c>
      <c r="G108">
        <v>791</v>
      </c>
      <c r="H108">
        <v>37665007480</v>
      </c>
      <c r="I108">
        <v>2717</v>
      </c>
      <c r="K108">
        <v>5000000</v>
      </c>
      <c r="L108">
        <v>814</v>
      </c>
      <c r="M108">
        <v>57195011520</v>
      </c>
      <c r="N108">
        <v>4119</v>
      </c>
      <c r="P108">
        <v>5000000</v>
      </c>
      <c r="Q108">
        <v>819</v>
      </c>
      <c r="R108">
        <v>76725015560</v>
      </c>
      <c r="S108">
        <v>5519</v>
      </c>
      <c r="U108">
        <v>5000000</v>
      </c>
      <c r="V108">
        <v>806</v>
      </c>
      <c r="W108">
        <v>96255019600</v>
      </c>
      <c r="X108">
        <v>6945</v>
      </c>
      <c r="Z108">
        <v>5000000</v>
      </c>
      <c r="AA108">
        <f t="shared" si="12"/>
        <v>806</v>
      </c>
      <c r="AB108">
        <f t="shared" si="13"/>
        <v>57195011520</v>
      </c>
      <c r="AC108">
        <f t="shared" si="14"/>
        <v>4128.8</v>
      </c>
    </row>
    <row r="109" spans="1:29" x14ac:dyDescent="0.25">
      <c r="A109">
        <v>5500000</v>
      </c>
      <c r="B109">
        <v>902</v>
      </c>
      <c r="C109">
        <v>18234003500</v>
      </c>
      <c r="D109">
        <v>1355</v>
      </c>
      <c r="F109">
        <v>5500000</v>
      </c>
      <c r="G109">
        <v>876</v>
      </c>
      <c r="H109">
        <v>37764007540</v>
      </c>
      <c r="I109">
        <v>2726</v>
      </c>
      <c r="K109">
        <v>5500000</v>
      </c>
      <c r="L109">
        <v>883</v>
      </c>
      <c r="M109">
        <v>57294011580</v>
      </c>
      <c r="N109">
        <v>4134</v>
      </c>
      <c r="P109">
        <v>5500000</v>
      </c>
      <c r="Q109">
        <v>885</v>
      </c>
      <c r="R109">
        <v>76824015620</v>
      </c>
      <c r="S109">
        <v>5531</v>
      </c>
      <c r="U109">
        <v>5500000</v>
      </c>
      <c r="V109">
        <v>875</v>
      </c>
      <c r="W109">
        <v>96354019660</v>
      </c>
      <c r="X109">
        <v>6960</v>
      </c>
      <c r="Z109">
        <v>5500000</v>
      </c>
      <c r="AA109">
        <f t="shared" si="12"/>
        <v>884.2</v>
      </c>
      <c r="AB109">
        <f t="shared" si="13"/>
        <v>57294011580</v>
      </c>
      <c r="AC109">
        <f t="shared" si="14"/>
        <v>4141.2</v>
      </c>
    </row>
    <row r="110" spans="1:29" x14ac:dyDescent="0.25">
      <c r="A110">
        <v>6000000</v>
      </c>
      <c r="B110">
        <v>971</v>
      </c>
      <c r="C110">
        <v>18342003560</v>
      </c>
      <c r="D110">
        <v>1368</v>
      </c>
      <c r="F110">
        <v>6000000</v>
      </c>
      <c r="G110">
        <v>950</v>
      </c>
      <c r="H110">
        <v>37872007600</v>
      </c>
      <c r="I110">
        <v>2735</v>
      </c>
      <c r="K110">
        <v>6000000</v>
      </c>
      <c r="L110">
        <v>982</v>
      </c>
      <c r="M110">
        <v>57402011640</v>
      </c>
      <c r="N110">
        <v>4147</v>
      </c>
      <c r="P110">
        <v>6000000</v>
      </c>
      <c r="Q110">
        <v>923</v>
      </c>
      <c r="R110">
        <v>76932015680</v>
      </c>
      <c r="S110">
        <v>5541</v>
      </c>
      <c r="U110">
        <v>6000000</v>
      </c>
      <c r="V110">
        <v>964</v>
      </c>
      <c r="W110">
        <v>96462019720</v>
      </c>
      <c r="X110">
        <v>6971</v>
      </c>
      <c r="Z110">
        <v>6000000</v>
      </c>
      <c r="AA110">
        <f t="shared" si="12"/>
        <v>958</v>
      </c>
      <c r="AB110">
        <f t="shared" si="13"/>
        <v>57402011640</v>
      </c>
      <c r="AC110">
        <f t="shared" si="14"/>
        <v>4152.3999999999996</v>
      </c>
    </row>
    <row r="111" spans="1:29" x14ac:dyDescent="0.25">
      <c r="A111">
        <v>6500000</v>
      </c>
      <c r="B111">
        <v>1039</v>
      </c>
      <c r="C111">
        <v>18459003620</v>
      </c>
      <c r="D111">
        <v>1384</v>
      </c>
      <c r="F111">
        <v>6500000</v>
      </c>
      <c r="G111">
        <v>1061</v>
      </c>
      <c r="H111">
        <v>37989007660</v>
      </c>
      <c r="I111">
        <v>2753</v>
      </c>
      <c r="K111">
        <v>6500000</v>
      </c>
      <c r="L111">
        <v>1037</v>
      </c>
      <c r="M111">
        <v>57519011700</v>
      </c>
      <c r="N111">
        <v>4161</v>
      </c>
      <c r="P111">
        <v>6500000</v>
      </c>
      <c r="Q111">
        <v>1048</v>
      </c>
      <c r="R111">
        <v>77049015740</v>
      </c>
      <c r="S111">
        <v>5554</v>
      </c>
      <c r="U111">
        <v>6500000</v>
      </c>
      <c r="V111">
        <v>1042</v>
      </c>
      <c r="W111">
        <v>96579019780</v>
      </c>
      <c r="X111">
        <v>6985</v>
      </c>
      <c r="Z111">
        <v>6500000</v>
      </c>
      <c r="AA111">
        <f t="shared" si="12"/>
        <v>1045.4000000000001</v>
      </c>
      <c r="AB111">
        <f t="shared" si="13"/>
        <v>57519011700</v>
      </c>
      <c r="AC111">
        <f t="shared" si="14"/>
        <v>4167.3999999999996</v>
      </c>
    </row>
    <row r="112" spans="1:29" x14ac:dyDescent="0.25">
      <c r="A112">
        <v>7000000</v>
      </c>
      <c r="B112">
        <v>1146</v>
      </c>
      <c r="C112">
        <v>18585003680</v>
      </c>
      <c r="D112">
        <v>1395</v>
      </c>
      <c r="F112">
        <v>7000000</v>
      </c>
      <c r="G112">
        <v>1110</v>
      </c>
      <c r="H112">
        <v>38115007720</v>
      </c>
      <c r="I112">
        <v>2763</v>
      </c>
      <c r="K112">
        <v>7000000</v>
      </c>
      <c r="L112">
        <v>1130</v>
      </c>
      <c r="M112">
        <v>57645011760</v>
      </c>
      <c r="N112">
        <v>4170</v>
      </c>
      <c r="P112">
        <v>7000000</v>
      </c>
      <c r="Q112">
        <v>1136</v>
      </c>
      <c r="R112">
        <v>77175015800</v>
      </c>
      <c r="S112">
        <v>5563</v>
      </c>
      <c r="U112">
        <v>7000000</v>
      </c>
      <c r="V112">
        <v>1120</v>
      </c>
      <c r="W112">
        <v>96705019840</v>
      </c>
      <c r="X112">
        <v>6996</v>
      </c>
      <c r="Z112">
        <v>7000000</v>
      </c>
      <c r="AA112">
        <f t="shared" si="12"/>
        <v>1128.4000000000001</v>
      </c>
      <c r="AB112">
        <f t="shared" si="13"/>
        <v>57645011760</v>
      </c>
      <c r="AC112">
        <f t="shared" si="14"/>
        <v>4177.3999999999996</v>
      </c>
    </row>
    <row r="113" spans="1:29" x14ac:dyDescent="0.25">
      <c r="A113">
        <v>7500000</v>
      </c>
      <c r="B113">
        <v>1181</v>
      </c>
      <c r="C113">
        <v>18720003740</v>
      </c>
      <c r="D113">
        <v>1411</v>
      </c>
      <c r="F113">
        <v>7500000</v>
      </c>
      <c r="G113">
        <v>1191</v>
      </c>
      <c r="H113">
        <v>38250007780</v>
      </c>
      <c r="I113">
        <v>2771</v>
      </c>
      <c r="K113">
        <v>7500000</v>
      </c>
      <c r="L113">
        <v>1181</v>
      </c>
      <c r="M113">
        <v>57780011820</v>
      </c>
      <c r="N113">
        <v>4176</v>
      </c>
      <c r="P113">
        <v>7500000</v>
      </c>
      <c r="Q113">
        <v>1195</v>
      </c>
      <c r="R113">
        <v>77310015860</v>
      </c>
      <c r="S113">
        <v>5580</v>
      </c>
      <c r="U113">
        <v>7500000</v>
      </c>
      <c r="V113">
        <v>1220</v>
      </c>
      <c r="W113">
        <v>96840019900</v>
      </c>
      <c r="X113">
        <v>7008</v>
      </c>
      <c r="Z113">
        <v>7500000</v>
      </c>
      <c r="AA113">
        <f t="shared" si="12"/>
        <v>1193.5999999999999</v>
      </c>
      <c r="AB113">
        <f t="shared" si="13"/>
        <v>57780011820</v>
      </c>
      <c r="AC113">
        <f t="shared" si="14"/>
        <v>4189.2</v>
      </c>
    </row>
    <row r="114" spans="1:29" x14ac:dyDescent="0.25">
      <c r="A114">
        <v>8000000</v>
      </c>
      <c r="B114">
        <v>1259</v>
      </c>
      <c r="C114">
        <v>18864003800</v>
      </c>
      <c r="D114">
        <v>1427</v>
      </c>
      <c r="F114">
        <v>8000000</v>
      </c>
      <c r="G114">
        <v>1275</v>
      </c>
      <c r="H114">
        <v>38394007840</v>
      </c>
      <c r="I114">
        <v>2784</v>
      </c>
      <c r="K114">
        <v>8000000</v>
      </c>
      <c r="L114">
        <v>1289</v>
      </c>
      <c r="M114">
        <v>57924011880</v>
      </c>
      <c r="N114">
        <v>4188</v>
      </c>
      <c r="P114">
        <v>8000000</v>
      </c>
      <c r="Q114">
        <v>1265</v>
      </c>
      <c r="R114">
        <v>77454015920</v>
      </c>
      <c r="S114">
        <v>5593</v>
      </c>
      <c r="U114">
        <v>8000000</v>
      </c>
      <c r="V114">
        <v>1271</v>
      </c>
      <c r="W114">
        <v>96984019960</v>
      </c>
      <c r="X114">
        <v>7024</v>
      </c>
      <c r="Z114">
        <v>8000000</v>
      </c>
      <c r="AA114">
        <f t="shared" si="12"/>
        <v>1271.8</v>
      </c>
      <c r="AB114">
        <f t="shared" si="13"/>
        <v>57924011880</v>
      </c>
      <c r="AC114">
        <f t="shared" si="14"/>
        <v>4203.2</v>
      </c>
    </row>
    <row r="115" spans="1:29" x14ac:dyDescent="0.25">
      <c r="A115">
        <v>8500000</v>
      </c>
      <c r="B115">
        <v>1368</v>
      </c>
      <c r="C115">
        <v>19017003860</v>
      </c>
      <c r="D115">
        <v>1435</v>
      </c>
      <c r="F115">
        <v>8500000</v>
      </c>
      <c r="G115">
        <v>1383</v>
      </c>
      <c r="H115">
        <v>38547007900</v>
      </c>
      <c r="I115">
        <v>2801</v>
      </c>
      <c r="K115">
        <v>8500000</v>
      </c>
      <c r="L115">
        <v>1365</v>
      </c>
      <c r="M115">
        <v>58077011940</v>
      </c>
      <c r="N115">
        <v>4198</v>
      </c>
      <c r="P115">
        <v>8500000</v>
      </c>
      <c r="Q115">
        <v>1365</v>
      </c>
      <c r="R115">
        <v>77607015980</v>
      </c>
      <c r="S115">
        <v>5599</v>
      </c>
      <c r="U115">
        <v>8500000</v>
      </c>
      <c r="V115">
        <v>1370</v>
      </c>
      <c r="W115">
        <v>97137020020</v>
      </c>
      <c r="X115">
        <v>7035</v>
      </c>
      <c r="Z115">
        <v>8500000</v>
      </c>
      <c r="AA115">
        <f t="shared" si="12"/>
        <v>1370.2</v>
      </c>
      <c r="AB115">
        <f t="shared" si="13"/>
        <v>58077011940</v>
      </c>
      <c r="AC115">
        <f t="shared" si="14"/>
        <v>4213.6000000000004</v>
      </c>
    </row>
    <row r="116" spans="1:29" x14ac:dyDescent="0.25">
      <c r="A116">
        <v>9000000</v>
      </c>
      <c r="B116">
        <v>1434</v>
      </c>
      <c r="C116">
        <v>19179003920</v>
      </c>
      <c r="D116">
        <v>1445</v>
      </c>
      <c r="F116">
        <v>9000000</v>
      </c>
      <c r="G116">
        <v>1469</v>
      </c>
      <c r="H116">
        <v>38709007960</v>
      </c>
      <c r="I116">
        <v>2814</v>
      </c>
      <c r="K116">
        <v>9000000</v>
      </c>
      <c r="L116">
        <v>1434</v>
      </c>
      <c r="M116">
        <v>58239012000</v>
      </c>
      <c r="N116">
        <v>4210</v>
      </c>
      <c r="P116">
        <v>9000000</v>
      </c>
      <c r="Q116">
        <v>1416</v>
      </c>
      <c r="R116">
        <v>77769016040</v>
      </c>
      <c r="S116">
        <v>5608</v>
      </c>
      <c r="U116">
        <v>9000000</v>
      </c>
      <c r="V116">
        <v>1431</v>
      </c>
      <c r="W116">
        <v>97299020080</v>
      </c>
      <c r="X116">
        <v>7046</v>
      </c>
      <c r="Z116">
        <v>9000000</v>
      </c>
      <c r="AA116">
        <f t="shared" si="12"/>
        <v>1436.8</v>
      </c>
      <c r="AB116">
        <f t="shared" si="13"/>
        <v>58239012000</v>
      </c>
      <c r="AC116">
        <f t="shared" si="14"/>
        <v>4224.6000000000004</v>
      </c>
    </row>
    <row r="117" spans="1:29" x14ac:dyDescent="0.25">
      <c r="A117">
        <v>9500000</v>
      </c>
      <c r="B117">
        <v>1530</v>
      </c>
      <c r="C117">
        <v>19350003980</v>
      </c>
      <c r="D117">
        <v>1459</v>
      </c>
      <c r="F117">
        <v>9500000</v>
      </c>
      <c r="G117">
        <v>1537</v>
      </c>
      <c r="H117">
        <v>38880008020</v>
      </c>
      <c r="I117">
        <v>2829</v>
      </c>
      <c r="K117">
        <v>9500000</v>
      </c>
      <c r="L117">
        <v>1523</v>
      </c>
      <c r="M117">
        <v>58410012060</v>
      </c>
      <c r="N117">
        <v>4218</v>
      </c>
      <c r="P117">
        <v>9500000</v>
      </c>
      <c r="Q117">
        <v>1549</v>
      </c>
      <c r="R117">
        <v>77940016100</v>
      </c>
      <c r="S117">
        <v>5624</v>
      </c>
      <c r="U117">
        <v>9500000</v>
      </c>
      <c r="V117">
        <v>1528</v>
      </c>
      <c r="W117">
        <v>97470020140</v>
      </c>
      <c r="X117">
        <v>7053</v>
      </c>
      <c r="Z117">
        <v>9500000</v>
      </c>
      <c r="AA117">
        <f t="shared" si="12"/>
        <v>1533.4</v>
      </c>
      <c r="AB117">
        <f t="shared" si="13"/>
        <v>58410012060</v>
      </c>
      <c r="AC117">
        <f t="shared" si="14"/>
        <v>4236.6000000000004</v>
      </c>
    </row>
    <row r="118" spans="1:29" x14ac:dyDescent="0.25">
      <c r="A118">
        <v>10000000</v>
      </c>
      <c r="B118">
        <v>1622</v>
      </c>
      <c r="C118">
        <v>19530004040</v>
      </c>
      <c r="D118">
        <v>1465</v>
      </c>
      <c r="F118">
        <v>10000000</v>
      </c>
      <c r="G118">
        <v>1579</v>
      </c>
      <c r="H118">
        <v>39060008080</v>
      </c>
      <c r="I118">
        <v>2846</v>
      </c>
      <c r="K118">
        <v>10000000</v>
      </c>
      <c r="L118">
        <v>1620</v>
      </c>
      <c r="M118">
        <v>58590012120</v>
      </c>
      <c r="N118">
        <v>4232</v>
      </c>
      <c r="P118">
        <v>10000000</v>
      </c>
      <c r="Q118">
        <v>1610</v>
      </c>
      <c r="R118">
        <v>78120016160</v>
      </c>
      <c r="S118">
        <v>5634</v>
      </c>
      <c r="U118">
        <v>10000000</v>
      </c>
      <c r="V118">
        <v>1610</v>
      </c>
      <c r="W118">
        <v>97650020200</v>
      </c>
      <c r="X118">
        <v>7072</v>
      </c>
      <c r="Z118">
        <v>10000000</v>
      </c>
      <c r="AA118">
        <f t="shared" si="12"/>
        <v>1608.2</v>
      </c>
      <c r="AB118">
        <f t="shared" si="13"/>
        <v>58590012120</v>
      </c>
      <c r="AC118">
        <f t="shared" si="14"/>
        <v>4249.8</v>
      </c>
    </row>
  </sheetData>
  <mergeCells count="30">
    <mergeCell ref="Z1:AC1"/>
    <mergeCell ref="A25:D25"/>
    <mergeCell ref="F25:I25"/>
    <mergeCell ref="K25:N25"/>
    <mergeCell ref="P25:S25"/>
    <mergeCell ref="U25:X25"/>
    <mergeCell ref="Z25:AC25"/>
    <mergeCell ref="A1:D1"/>
    <mergeCell ref="F1:I1"/>
    <mergeCell ref="K1:N1"/>
    <mergeCell ref="P1:S1"/>
    <mergeCell ref="U1:X1"/>
    <mergeCell ref="Z49:AC49"/>
    <mergeCell ref="A73:D73"/>
    <mergeCell ref="F73:I73"/>
    <mergeCell ref="K73:N73"/>
    <mergeCell ref="P73:S73"/>
    <mergeCell ref="U73:X73"/>
    <mergeCell ref="Z73:AC73"/>
    <mergeCell ref="A49:D49"/>
    <mergeCell ref="F49:I49"/>
    <mergeCell ref="K49:N49"/>
    <mergeCell ref="P49:S49"/>
    <mergeCell ref="U49:X49"/>
    <mergeCell ref="Z97:AC97"/>
    <mergeCell ref="A97:D97"/>
    <mergeCell ref="F97:I97"/>
    <mergeCell ref="K97:N97"/>
    <mergeCell ref="P97:S97"/>
    <mergeCell ref="U97:X97"/>
  </mergeCells>
  <pageMargins left="0.7" right="0.7" top="0.75" bottom="0.75" header="0.3" footer="0.3"/>
  <drawing r:id="rId1"/>
  <tableParts count="3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3ACB-C51F-4587-A75D-1107B200E137}">
  <dimension ref="A1:AC22"/>
  <sheetViews>
    <sheetView topLeftCell="A52" zoomScaleNormal="100" workbookViewId="0">
      <selection activeCell="N45" sqref="N45"/>
    </sheetView>
  </sheetViews>
  <sheetFormatPr defaultRowHeight="15" x14ac:dyDescent="0.25"/>
  <cols>
    <col min="1" max="1" width="10.28515625" customWidth="1"/>
    <col min="2" max="2" width="12.140625" bestFit="1" customWidth="1"/>
    <col min="3" max="3" width="14.5703125" bestFit="1" customWidth="1"/>
    <col min="4" max="4" width="14.85546875" bestFit="1" customWidth="1"/>
    <col min="8" max="8" width="14.5703125" bestFit="1" customWidth="1"/>
    <col min="9" max="9" width="14.85546875" bestFit="1" customWidth="1"/>
    <col min="13" max="13" width="14.5703125" bestFit="1" customWidth="1"/>
    <col min="14" max="14" width="14.85546875" bestFit="1" customWidth="1"/>
    <col min="17" max="17" width="7.7109375" bestFit="1" customWidth="1"/>
    <col min="18" max="18" width="14.5703125" bestFit="1" customWidth="1"/>
    <col min="19" max="19" width="14.85546875" bestFit="1" customWidth="1"/>
    <col min="23" max="23" width="14.5703125" bestFit="1" customWidth="1"/>
    <col min="24" max="24" width="14.7109375" bestFit="1" customWidth="1"/>
    <col min="28" max="28" width="13.42578125" customWidth="1"/>
    <col min="29" max="29" width="14.7109375" bestFit="1" customWidth="1"/>
  </cols>
  <sheetData>
    <row r="1" spans="1:29" x14ac:dyDescent="0.25">
      <c r="A1" s="3" t="s">
        <v>28</v>
      </c>
      <c r="B1" s="3"/>
      <c r="C1" s="3"/>
      <c r="D1" s="3"/>
      <c r="F1" s="3" t="s">
        <v>29</v>
      </c>
      <c r="G1" s="3"/>
      <c r="H1" s="3"/>
      <c r="I1" s="3"/>
      <c r="K1" s="3" t="s">
        <v>30</v>
      </c>
      <c r="L1" s="3"/>
      <c r="M1" s="3"/>
      <c r="N1" s="3"/>
      <c r="P1" s="3" t="s">
        <v>31</v>
      </c>
      <c r="Q1" s="3"/>
      <c r="R1" s="3"/>
      <c r="S1" s="3"/>
      <c r="U1" s="3" t="s">
        <v>32</v>
      </c>
      <c r="V1" s="3"/>
      <c r="W1" s="3"/>
      <c r="X1" s="3"/>
      <c r="Z1" s="3" t="s">
        <v>33</v>
      </c>
      <c r="AA1" s="3"/>
      <c r="AB1" s="3"/>
      <c r="AC1" s="3"/>
    </row>
    <row r="2" spans="1:29" x14ac:dyDescent="0.25">
      <c r="A2" t="s">
        <v>24</v>
      </c>
      <c r="B2" t="s">
        <v>25</v>
      </c>
      <c r="C2" t="s">
        <v>26</v>
      </c>
      <c r="D2" t="s">
        <v>27</v>
      </c>
      <c r="F2" t="s">
        <v>24</v>
      </c>
      <c r="G2" t="s">
        <v>25</v>
      </c>
      <c r="H2" t="s">
        <v>26</v>
      </c>
      <c r="I2" t="s">
        <v>27</v>
      </c>
      <c r="K2" t="s">
        <v>24</v>
      </c>
      <c r="L2" t="s">
        <v>25</v>
      </c>
      <c r="M2" t="s">
        <v>26</v>
      </c>
      <c r="N2" t="s">
        <v>27</v>
      </c>
      <c r="P2" t="s">
        <v>24</v>
      </c>
      <c r="Q2" t="s">
        <v>25</v>
      </c>
      <c r="R2" t="s">
        <v>26</v>
      </c>
      <c r="S2" t="s">
        <v>27</v>
      </c>
      <c r="U2" t="s">
        <v>24</v>
      </c>
      <c r="V2" t="s">
        <v>25</v>
      </c>
      <c r="W2" t="s">
        <v>26</v>
      </c>
      <c r="X2" t="s">
        <v>27</v>
      </c>
      <c r="Z2" t="s">
        <v>0</v>
      </c>
      <c r="AA2" t="s">
        <v>1</v>
      </c>
      <c r="AB2" t="s">
        <v>2</v>
      </c>
      <c r="AC2" t="s">
        <v>3</v>
      </c>
    </row>
    <row r="3" spans="1:29" x14ac:dyDescent="0.25">
      <c r="A3">
        <v>250000</v>
      </c>
      <c r="B3">
        <v>533</v>
      </c>
      <c r="C3">
        <v>653924</v>
      </c>
      <c r="D3">
        <v>215836</v>
      </c>
      <c r="F3">
        <v>250000</v>
      </c>
      <c r="G3">
        <v>3765</v>
      </c>
      <c r="H3">
        <v>653879</v>
      </c>
      <c r="I3">
        <v>215951</v>
      </c>
      <c r="K3">
        <v>250000</v>
      </c>
      <c r="L3">
        <v>4608</v>
      </c>
      <c r="M3">
        <v>654240</v>
      </c>
      <c r="N3">
        <v>216398</v>
      </c>
      <c r="P3">
        <v>250000</v>
      </c>
      <c r="Q3">
        <v>3945</v>
      </c>
      <c r="R3">
        <v>654092</v>
      </c>
      <c r="S3">
        <v>216029</v>
      </c>
      <c r="U3">
        <v>250000</v>
      </c>
      <c r="V3">
        <v>3868</v>
      </c>
      <c r="W3">
        <v>653973</v>
      </c>
      <c r="X3">
        <v>215966</v>
      </c>
      <c r="Z3">
        <v>250000</v>
      </c>
      <c r="AA3">
        <f t="shared" ref="AA3:AA22" si="0">AVERAGE(B3,G3,L3,Q3,V3)</f>
        <v>3343.8</v>
      </c>
      <c r="AB3">
        <f t="shared" ref="AB3:AB22" si="1">AVERAGE(C3,H3,M3,R3,W3)</f>
        <v>654021.6</v>
      </c>
      <c r="AC3">
        <f t="shared" ref="AC3:AC22" si="2">AVERAGE(D3,I3,N3,S3,X3)</f>
        <v>216036</v>
      </c>
    </row>
    <row r="4" spans="1:29" x14ac:dyDescent="0.25">
      <c r="A4">
        <v>500000</v>
      </c>
      <c r="B4">
        <v>3916</v>
      </c>
      <c r="C4">
        <v>1306011</v>
      </c>
      <c r="D4">
        <v>428271</v>
      </c>
      <c r="F4">
        <v>500000</v>
      </c>
      <c r="G4">
        <v>10641</v>
      </c>
      <c r="H4">
        <v>1306397</v>
      </c>
      <c r="I4">
        <v>428804</v>
      </c>
      <c r="K4">
        <v>500000</v>
      </c>
      <c r="L4">
        <v>12497</v>
      </c>
      <c r="M4">
        <v>1306245</v>
      </c>
      <c r="N4">
        <v>428534</v>
      </c>
      <c r="P4">
        <v>500000</v>
      </c>
      <c r="Q4">
        <v>11361</v>
      </c>
      <c r="R4">
        <v>1306811</v>
      </c>
      <c r="S4">
        <v>429584</v>
      </c>
      <c r="U4">
        <v>500000</v>
      </c>
      <c r="V4">
        <v>20957</v>
      </c>
      <c r="W4">
        <v>1305373</v>
      </c>
      <c r="X4">
        <v>427182</v>
      </c>
      <c r="Z4">
        <v>500000</v>
      </c>
      <c r="AA4">
        <f t="shared" si="0"/>
        <v>11874.4</v>
      </c>
      <c r="AB4">
        <f t="shared" si="1"/>
        <v>1306167.3999999999</v>
      </c>
      <c r="AC4">
        <f t="shared" si="2"/>
        <v>428475</v>
      </c>
    </row>
    <row r="5" spans="1:29" x14ac:dyDescent="0.25">
      <c r="A5">
        <v>750000</v>
      </c>
      <c r="B5">
        <v>5428</v>
      </c>
      <c r="C5">
        <v>1957462</v>
      </c>
      <c r="D5">
        <v>639243</v>
      </c>
      <c r="F5">
        <v>750000</v>
      </c>
      <c r="G5">
        <v>19909</v>
      </c>
      <c r="H5">
        <v>1958812</v>
      </c>
      <c r="I5">
        <v>641101</v>
      </c>
      <c r="K5">
        <v>750000</v>
      </c>
      <c r="L5">
        <v>22429</v>
      </c>
      <c r="M5">
        <v>1958081</v>
      </c>
      <c r="N5">
        <v>639973</v>
      </c>
      <c r="P5">
        <v>750000</v>
      </c>
      <c r="Q5">
        <v>21295</v>
      </c>
      <c r="R5">
        <v>1957545</v>
      </c>
      <c r="S5">
        <v>639261</v>
      </c>
      <c r="U5">
        <v>750000</v>
      </c>
      <c r="V5">
        <v>27387</v>
      </c>
      <c r="W5">
        <v>1957797</v>
      </c>
      <c r="X5">
        <v>639907</v>
      </c>
      <c r="Z5">
        <v>750000</v>
      </c>
      <c r="AA5">
        <f t="shared" si="0"/>
        <v>19289.599999999999</v>
      </c>
      <c r="AB5">
        <f t="shared" si="1"/>
        <v>1957939.4</v>
      </c>
      <c r="AC5">
        <f t="shared" si="2"/>
        <v>639897</v>
      </c>
    </row>
    <row r="6" spans="1:29" x14ac:dyDescent="0.25">
      <c r="A6">
        <v>1000000</v>
      </c>
      <c r="B6">
        <v>7943</v>
      </c>
      <c r="C6">
        <v>2608462</v>
      </c>
      <c r="D6">
        <v>848609</v>
      </c>
      <c r="F6">
        <v>1000000</v>
      </c>
      <c r="G6">
        <v>26659</v>
      </c>
      <c r="H6">
        <v>2607347</v>
      </c>
      <c r="I6">
        <v>847308</v>
      </c>
      <c r="K6">
        <v>1000000</v>
      </c>
      <c r="L6">
        <v>33187</v>
      </c>
      <c r="M6">
        <v>2607877</v>
      </c>
      <c r="N6">
        <v>847970</v>
      </c>
      <c r="P6">
        <v>1000000</v>
      </c>
      <c r="Q6">
        <v>29067</v>
      </c>
      <c r="R6">
        <v>2608965</v>
      </c>
      <c r="S6">
        <v>849927</v>
      </c>
      <c r="U6">
        <v>1000000</v>
      </c>
      <c r="V6">
        <v>30766</v>
      </c>
      <c r="W6">
        <v>2609022</v>
      </c>
      <c r="X6">
        <v>850148</v>
      </c>
      <c r="Z6">
        <v>1000000</v>
      </c>
      <c r="AA6">
        <f t="shared" si="0"/>
        <v>25524.400000000001</v>
      </c>
      <c r="AB6">
        <f t="shared" si="1"/>
        <v>2608334.6</v>
      </c>
      <c r="AC6">
        <f t="shared" si="2"/>
        <v>848792.4</v>
      </c>
    </row>
    <row r="7" spans="1:29" x14ac:dyDescent="0.25">
      <c r="A7">
        <v>1250000</v>
      </c>
      <c r="B7">
        <v>9269</v>
      </c>
      <c r="C7">
        <v>3257025</v>
      </c>
      <c r="D7">
        <v>1054367</v>
      </c>
      <c r="F7">
        <v>1250000</v>
      </c>
      <c r="G7">
        <v>27234</v>
      </c>
      <c r="H7">
        <v>3257046</v>
      </c>
      <c r="I7">
        <v>1053822</v>
      </c>
      <c r="K7">
        <v>1250000</v>
      </c>
      <c r="L7">
        <v>34998</v>
      </c>
      <c r="M7">
        <v>3256344</v>
      </c>
      <c r="N7">
        <v>1052974</v>
      </c>
      <c r="P7">
        <v>1250000</v>
      </c>
      <c r="Q7">
        <v>29190</v>
      </c>
      <c r="R7">
        <v>3257610</v>
      </c>
      <c r="S7">
        <v>1054920</v>
      </c>
      <c r="U7">
        <v>1250000</v>
      </c>
      <c r="V7">
        <v>42258</v>
      </c>
      <c r="W7">
        <v>3257442</v>
      </c>
      <c r="X7">
        <v>1055124</v>
      </c>
      <c r="Z7">
        <v>1250000</v>
      </c>
      <c r="AA7">
        <f t="shared" si="0"/>
        <v>28589.8</v>
      </c>
      <c r="AB7">
        <f t="shared" si="1"/>
        <v>3257093.4</v>
      </c>
      <c r="AC7">
        <f t="shared" si="2"/>
        <v>1054241.3999999999</v>
      </c>
    </row>
    <row r="8" spans="1:29" x14ac:dyDescent="0.25">
      <c r="A8">
        <v>1500000</v>
      </c>
      <c r="B8">
        <v>15578</v>
      </c>
      <c r="C8">
        <v>3906168</v>
      </c>
      <c r="D8">
        <v>1259843</v>
      </c>
      <c r="F8">
        <v>1500000</v>
      </c>
      <c r="G8">
        <v>25516</v>
      </c>
      <c r="H8">
        <v>3904924</v>
      </c>
      <c r="I8">
        <v>1257852</v>
      </c>
      <c r="K8">
        <v>1500000</v>
      </c>
      <c r="L8">
        <v>33310</v>
      </c>
      <c r="M8">
        <v>3906035</v>
      </c>
      <c r="N8">
        <v>1259500</v>
      </c>
      <c r="P8">
        <v>1500000</v>
      </c>
      <c r="Q8">
        <v>29940</v>
      </c>
      <c r="R8">
        <v>3904206</v>
      </c>
      <c r="S8">
        <v>1256665</v>
      </c>
      <c r="U8">
        <v>1500000</v>
      </c>
      <c r="V8">
        <v>40861</v>
      </c>
      <c r="W8">
        <v>3905534</v>
      </c>
      <c r="X8">
        <v>1259182</v>
      </c>
      <c r="Z8">
        <v>1500000</v>
      </c>
      <c r="AA8">
        <f t="shared" si="0"/>
        <v>29041</v>
      </c>
      <c r="AB8">
        <f t="shared" si="1"/>
        <v>3905373.4</v>
      </c>
      <c r="AC8">
        <f t="shared" si="2"/>
        <v>1258608.3999999999</v>
      </c>
    </row>
    <row r="9" spans="1:29" x14ac:dyDescent="0.25">
      <c r="A9">
        <v>1750000</v>
      </c>
      <c r="B9">
        <v>17019</v>
      </c>
      <c r="C9">
        <v>4550794</v>
      </c>
      <c r="D9">
        <v>1457771</v>
      </c>
      <c r="F9">
        <v>1750000</v>
      </c>
      <c r="G9">
        <v>24752</v>
      </c>
      <c r="H9">
        <v>4551314</v>
      </c>
      <c r="I9">
        <v>1458273</v>
      </c>
      <c r="K9">
        <v>1750000</v>
      </c>
      <c r="L9">
        <v>31981</v>
      </c>
      <c r="M9">
        <v>4550974</v>
      </c>
      <c r="N9">
        <v>1458188</v>
      </c>
      <c r="P9">
        <v>1750000</v>
      </c>
      <c r="Q9">
        <v>26690</v>
      </c>
      <c r="R9">
        <v>4551649</v>
      </c>
      <c r="S9">
        <v>1459371</v>
      </c>
      <c r="U9">
        <v>1750000</v>
      </c>
      <c r="V9">
        <v>45601</v>
      </c>
      <c r="W9">
        <v>4552873</v>
      </c>
      <c r="X9">
        <v>1461091</v>
      </c>
      <c r="Z9">
        <v>1750000</v>
      </c>
      <c r="AA9">
        <f t="shared" si="0"/>
        <v>29208.6</v>
      </c>
      <c r="AB9">
        <f t="shared" si="1"/>
        <v>4551520.8</v>
      </c>
      <c r="AC9">
        <f t="shared" si="2"/>
        <v>1458938.8</v>
      </c>
    </row>
    <row r="10" spans="1:29" x14ac:dyDescent="0.25">
      <c r="A10">
        <v>2000000</v>
      </c>
      <c r="B10">
        <v>21934</v>
      </c>
      <c r="C10">
        <v>5196091</v>
      </c>
      <c r="D10">
        <v>1656399</v>
      </c>
      <c r="F10">
        <v>2000000</v>
      </c>
      <c r="G10">
        <v>25494</v>
      </c>
      <c r="H10">
        <v>5198397</v>
      </c>
      <c r="I10">
        <v>1660093</v>
      </c>
      <c r="K10">
        <v>2000000</v>
      </c>
      <c r="L10">
        <v>31164</v>
      </c>
      <c r="M10">
        <v>5196961</v>
      </c>
      <c r="N10">
        <v>1657284</v>
      </c>
      <c r="P10">
        <v>2000000</v>
      </c>
      <c r="Q10">
        <v>28131</v>
      </c>
      <c r="R10">
        <v>5197856</v>
      </c>
      <c r="S10">
        <v>1659287</v>
      </c>
      <c r="U10">
        <v>2000000</v>
      </c>
      <c r="V10">
        <v>43606</v>
      </c>
      <c r="W10">
        <v>5198716</v>
      </c>
      <c r="X10">
        <v>1660657</v>
      </c>
      <c r="Z10">
        <v>2000000</v>
      </c>
      <c r="AA10">
        <f t="shared" si="0"/>
        <v>30065.8</v>
      </c>
      <c r="AB10">
        <f t="shared" si="1"/>
        <v>5197604.2</v>
      </c>
      <c r="AC10">
        <f t="shared" si="2"/>
        <v>1658744</v>
      </c>
    </row>
    <row r="11" spans="1:29" x14ac:dyDescent="0.25">
      <c r="A11">
        <v>2250000</v>
      </c>
      <c r="B11">
        <v>25100</v>
      </c>
      <c r="C11">
        <v>5842926</v>
      </c>
      <c r="D11">
        <v>1857026</v>
      </c>
      <c r="F11">
        <v>2250000</v>
      </c>
      <c r="G11">
        <v>26643</v>
      </c>
      <c r="H11">
        <v>5842414</v>
      </c>
      <c r="I11">
        <v>1855588</v>
      </c>
      <c r="K11">
        <v>2250000</v>
      </c>
      <c r="L11">
        <v>30438</v>
      </c>
      <c r="M11">
        <v>5840811</v>
      </c>
      <c r="N11">
        <v>1853143</v>
      </c>
      <c r="P11">
        <v>2250000</v>
      </c>
      <c r="Q11">
        <v>29138</v>
      </c>
      <c r="R11">
        <v>5843518</v>
      </c>
      <c r="S11">
        <v>1857896</v>
      </c>
      <c r="U11">
        <v>2250000</v>
      </c>
      <c r="V11">
        <v>54411</v>
      </c>
      <c r="W11">
        <v>5841496</v>
      </c>
      <c r="X11">
        <v>1854929</v>
      </c>
      <c r="Z11">
        <v>2250000</v>
      </c>
      <c r="AA11">
        <f t="shared" si="0"/>
        <v>33146</v>
      </c>
      <c r="AB11">
        <f t="shared" si="1"/>
        <v>5842233</v>
      </c>
      <c r="AC11">
        <f t="shared" si="2"/>
        <v>1855716.4</v>
      </c>
    </row>
    <row r="12" spans="1:29" x14ac:dyDescent="0.25">
      <c r="A12">
        <v>2500000</v>
      </c>
      <c r="B12">
        <v>33405</v>
      </c>
      <c r="C12">
        <v>6486912</v>
      </c>
      <c r="D12">
        <v>2052376</v>
      </c>
      <c r="F12">
        <v>2500000</v>
      </c>
      <c r="G12">
        <v>30720</v>
      </c>
      <c r="H12">
        <v>6485329</v>
      </c>
      <c r="I12">
        <v>2049464</v>
      </c>
      <c r="K12">
        <v>2500000</v>
      </c>
      <c r="L12">
        <v>35138</v>
      </c>
      <c r="M12">
        <v>6486432</v>
      </c>
      <c r="N12">
        <v>2051935</v>
      </c>
      <c r="P12">
        <v>2500000</v>
      </c>
      <c r="Q12">
        <v>33739</v>
      </c>
      <c r="R12">
        <v>6486379</v>
      </c>
      <c r="S12">
        <v>2051600</v>
      </c>
      <c r="U12">
        <v>2500000</v>
      </c>
      <c r="V12">
        <v>49878</v>
      </c>
      <c r="W12">
        <v>6482918</v>
      </c>
      <c r="X12">
        <v>2045780</v>
      </c>
      <c r="Z12">
        <v>2500000</v>
      </c>
      <c r="AA12">
        <f t="shared" si="0"/>
        <v>36576</v>
      </c>
      <c r="AB12">
        <f t="shared" si="1"/>
        <v>6485594</v>
      </c>
      <c r="AC12">
        <f t="shared" si="2"/>
        <v>2050231</v>
      </c>
    </row>
    <row r="13" spans="1:29" x14ac:dyDescent="0.25">
      <c r="A13">
        <v>2750000</v>
      </c>
      <c r="B13">
        <v>36968</v>
      </c>
      <c r="C13">
        <v>7125295</v>
      </c>
      <c r="D13">
        <v>2238078</v>
      </c>
      <c r="F13">
        <v>2750000</v>
      </c>
      <c r="G13">
        <v>36564</v>
      </c>
      <c r="H13">
        <v>7127585</v>
      </c>
      <c r="I13">
        <v>2241784</v>
      </c>
      <c r="K13">
        <v>2750000</v>
      </c>
      <c r="L13">
        <v>41601</v>
      </c>
      <c r="M13">
        <v>7125850</v>
      </c>
      <c r="N13">
        <v>2239144</v>
      </c>
      <c r="P13">
        <v>2750000</v>
      </c>
      <c r="Q13">
        <v>37726</v>
      </c>
      <c r="R13">
        <v>7123690</v>
      </c>
      <c r="S13">
        <v>2236057</v>
      </c>
      <c r="U13">
        <v>2750000</v>
      </c>
      <c r="V13">
        <v>61073</v>
      </c>
      <c r="W13">
        <v>7124812</v>
      </c>
      <c r="X13">
        <v>2237477</v>
      </c>
      <c r="Z13">
        <v>2750000</v>
      </c>
      <c r="AA13">
        <f t="shared" si="0"/>
        <v>42786.400000000001</v>
      </c>
      <c r="AB13">
        <f t="shared" si="1"/>
        <v>7125446.4000000004</v>
      </c>
      <c r="AC13">
        <f t="shared" si="2"/>
        <v>2238508</v>
      </c>
    </row>
    <row r="14" spans="1:29" x14ac:dyDescent="0.25">
      <c r="A14">
        <v>3000000</v>
      </c>
      <c r="B14">
        <v>40502</v>
      </c>
      <c r="C14">
        <v>7769839</v>
      </c>
      <c r="D14">
        <v>2433319</v>
      </c>
      <c r="F14">
        <v>3000000</v>
      </c>
      <c r="G14">
        <v>43647</v>
      </c>
      <c r="H14">
        <v>7770442</v>
      </c>
      <c r="I14">
        <v>2434505</v>
      </c>
      <c r="K14">
        <v>3000000</v>
      </c>
      <c r="L14">
        <v>48068</v>
      </c>
      <c r="M14">
        <v>7769822</v>
      </c>
      <c r="N14">
        <v>2433647</v>
      </c>
      <c r="P14">
        <v>3000000</v>
      </c>
      <c r="Q14">
        <v>45356</v>
      </c>
      <c r="R14">
        <v>7768967</v>
      </c>
      <c r="S14">
        <v>2432224</v>
      </c>
      <c r="U14">
        <v>3000000</v>
      </c>
      <c r="V14">
        <v>49511</v>
      </c>
      <c r="W14">
        <v>7770438</v>
      </c>
      <c r="X14">
        <v>2434313</v>
      </c>
      <c r="Z14">
        <v>3000000</v>
      </c>
      <c r="AA14">
        <f t="shared" si="0"/>
        <v>45416.800000000003</v>
      </c>
      <c r="AB14">
        <f t="shared" si="1"/>
        <v>7769901.5999999996</v>
      </c>
      <c r="AC14">
        <f t="shared" si="2"/>
        <v>2433601.6</v>
      </c>
    </row>
    <row r="15" spans="1:29" x14ac:dyDescent="0.25">
      <c r="A15">
        <v>3250000</v>
      </c>
      <c r="B15">
        <v>48285</v>
      </c>
      <c r="C15">
        <v>8406313</v>
      </c>
      <c r="D15">
        <v>2616096</v>
      </c>
      <c r="F15">
        <v>3250000</v>
      </c>
      <c r="G15">
        <v>49866</v>
      </c>
      <c r="H15">
        <v>8409434</v>
      </c>
      <c r="I15">
        <v>2620048</v>
      </c>
      <c r="K15">
        <v>3250000</v>
      </c>
      <c r="L15">
        <v>50953</v>
      </c>
      <c r="M15">
        <v>8405900</v>
      </c>
      <c r="N15">
        <v>2615241</v>
      </c>
      <c r="P15">
        <v>3250000</v>
      </c>
      <c r="Q15">
        <v>65758</v>
      </c>
      <c r="R15">
        <v>8406993</v>
      </c>
      <c r="S15">
        <v>2616601</v>
      </c>
      <c r="U15">
        <v>3250000</v>
      </c>
      <c r="V15">
        <v>84395</v>
      </c>
      <c r="W15">
        <v>8406260</v>
      </c>
      <c r="X15">
        <v>2615479</v>
      </c>
      <c r="Z15">
        <v>3250000</v>
      </c>
      <c r="AA15">
        <f t="shared" si="0"/>
        <v>59851.4</v>
      </c>
      <c r="AB15">
        <f t="shared" si="1"/>
        <v>8406980</v>
      </c>
      <c r="AC15">
        <f t="shared" si="2"/>
        <v>2616693</v>
      </c>
    </row>
    <row r="16" spans="1:29" x14ac:dyDescent="0.25">
      <c r="A16">
        <v>3500000</v>
      </c>
      <c r="B16">
        <v>56813</v>
      </c>
      <c r="C16">
        <v>9045275</v>
      </c>
      <c r="D16">
        <v>2800990</v>
      </c>
      <c r="F16">
        <v>3500000</v>
      </c>
      <c r="G16">
        <v>55894</v>
      </c>
      <c r="H16">
        <v>9049393</v>
      </c>
      <c r="I16">
        <v>2807509</v>
      </c>
      <c r="K16">
        <v>3500000</v>
      </c>
      <c r="L16">
        <v>56821</v>
      </c>
      <c r="M16">
        <v>9048008</v>
      </c>
      <c r="N16">
        <v>2805948</v>
      </c>
      <c r="P16">
        <v>3500000</v>
      </c>
      <c r="Q16">
        <v>111878</v>
      </c>
      <c r="R16">
        <v>9046738</v>
      </c>
      <c r="S16">
        <v>2803273</v>
      </c>
      <c r="U16">
        <v>3500000</v>
      </c>
      <c r="V16">
        <v>98954</v>
      </c>
      <c r="W16">
        <v>9045993</v>
      </c>
      <c r="X16">
        <v>2801747</v>
      </c>
      <c r="Z16">
        <v>3500000</v>
      </c>
      <c r="AA16">
        <f t="shared" si="0"/>
        <v>76072</v>
      </c>
      <c r="AB16">
        <f t="shared" si="1"/>
        <v>9047081.4000000004</v>
      </c>
      <c r="AC16">
        <f t="shared" si="2"/>
        <v>2803893.4</v>
      </c>
    </row>
    <row r="17" spans="1:29" x14ac:dyDescent="0.25">
      <c r="A17">
        <v>3750000</v>
      </c>
      <c r="B17">
        <v>60969</v>
      </c>
      <c r="C17">
        <v>9689647</v>
      </c>
      <c r="D17">
        <v>2994356</v>
      </c>
      <c r="F17">
        <v>3750000</v>
      </c>
      <c r="G17">
        <v>61840</v>
      </c>
      <c r="H17">
        <v>9688203</v>
      </c>
      <c r="I17">
        <v>2992705</v>
      </c>
      <c r="K17">
        <v>3750000</v>
      </c>
      <c r="L17">
        <v>62160</v>
      </c>
      <c r="M17">
        <v>9688865</v>
      </c>
      <c r="N17">
        <v>2993089</v>
      </c>
      <c r="P17">
        <v>3750000</v>
      </c>
      <c r="Q17">
        <v>122532</v>
      </c>
      <c r="R17">
        <v>9689049</v>
      </c>
      <c r="S17">
        <v>2993238</v>
      </c>
      <c r="U17">
        <v>3750000</v>
      </c>
      <c r="V17">
        <v>96047</v>
      </c>
      <c r="W17">
        <v>9687790</v>
      </c>
      <c r="X17">
        <v>2991787</v>
      </c>
      <c r="Z17">
        <v>3750000</v>
      </c>
      <c r="AA17">
        <f t="shared" si="0"/>
        <v>80709.600000000006</v>
      </c>
      <c r="AB17">
        <f t="shared" si="1"/>
        <v>9688710.8000000007</v>
      </c>
      <c r="AC17">
        <f t="shared" si="2"/>
        <v>2993035</v>
      </c>
    </row>
    <row r="18" spans="1:29" x14ac:dyDescent="0.25">
      <c r="A18">
        <v>4000000</v>
      </c>
      <c r="B18">
        <v>70887</v>
      </c>
      <c r="C18">
        <v>10322767</v>
      </c>
      <c r="D18">
        <v>3169643</v>
      </c>
      <c r="F18">
        <v>4000000</v>
      </c>
      <c r="G18">
        <v>65259</v>
      </c>
      <c r="H18">
        <v>10320953</v>
      </c>
      <c r="I18">
        <v>3167230</v>
      </c>
      <c r="K18">
        <v>4000000</v>
      </c>
      <c r="L18">
        <v>69491</v>
      </c>
      <c r="M18">
        <v>10317664</v>
      </c>
      <c r="N18">
        <v>3160886</v>
      </c>
      <c r="P18">
        <v>4000000</v>
      </c>
      <c r="Q18">
        <v>132862</v>
      </c>
      <c r="R18">
        <v>10320508</v>
      </c>
      <c r="S18">
        <v>3166329</v>
      </c>
      <c r="U18">
        <v>4000000</v>
      </c>
      <c r="V18">
        <v>102347</v>
      </c>
      <c r="W18">
        <v>10323508</v>
      </c>
      <c r="X18">
        <v>3171096</v>
      </c>
      <c r="Z18">
        <v>4000000</v>
      </c>
      <c r="AA18">
        <f t="shared" si="0"/>
        <v>88169.2</v>
      </c>
      <c r="AB18">
        <f t="shared" si="1"/>
        <v>10321080</v>
      </c>
      <c r="AC18">
        <f t="shared" si="2"/>
        <v>3167036.8</v>
      </c>
    </row>
    <row r="19" spans="1:29" x14ac:dyDescent="0.25">
      <c r="A19">
        <v>4250000</v>
      </c>
      <c r="B19">
        <v>82633</v>
      </c>
      <c r="C19">
        <v>10949836</v>
      </c>
      <c r="D19">
        <v>3334528</v>
      </c>
      <c r="F19">
        <v>4250000</v>
      </c>
      <c r="G19">
        <v>80110</v>
      </c>
      <c r="H19">
        <v>10950263</v>
      </c>
      <c r="I19">
        <v>3335193</v>
      </c>
      <c r="K19">
        <v>4250000</v>
      </c>
      <c r="L19">
        <v>75794</v>
      </c>
      <c r="M19">
        <v>10948744</v>
      </c>
      <c r="N19">
        <v>3333252</v>
      </c>
      <c r="P19">
        <v>4250000</v>
      </c>
      <c r="Q19">
        <v>147879</v>
      </c>
      <c r="R19">
        <v>10949253</v>
      </c>
      <c r="S19">
        <v>3333161</v>
      </c>
      <c r="U19">
        <v>4250000</v>
      </c>
      <c r="V19">
        <v>96066</v>
      </c>
      <c r="W19">
        <v>10949656</v>
      </c>
      <c r="X19">
        <v>3334400</v>
      </c>
      <c r="Z19">
        <v>4250000</v>
      </c>
      <c r="AA19">
        <f t="shared" si="0"/>
        <v>96496.4</v>
      </c>
      <c r="AB19">
        <f t="shared" si="1"/>
        <v>10949550.4</v>
      </c>
      <c r="AC19">
        <f t="shared" si="2"/>
        <v>3334106.8</v>
      </c>
    </row>
    <row r="20" spans="1:29" x14ac:dyDescent="0.25">
      <c r="A20">
        <v>4500000</v>
      </c>
      <c r="B20">
        <v>87791</v>
      </c>
      <c r="C20">
        <v>11596974</v>
      </c>
      <c r="D20">
        <v>3531170</v>
      </c>
      <c r="F20">
        <v>4500000</v>
      </c>
      <c r="G20">
        <v>83429</v>
      </c>
      <c r="H20">
        <v>11598378</v>
      </c>
      <c r="I20">
        <v>3533983</v>
      </c>
      <c r="K20">
        <v>4500000</v>
      </c>
      <c r="L20">
        <v>90149</v>
      </c>
      <c r="M20">
        <v>11593382</v>
      </c>
      <c r="N20">
        <v>3525086</v>
      </c>
      <c r="P20">
        <v>4500000</v>
      </c>
      <c r="Q20">
        <v>159914</v>
      </c>
      <c r="R20">
        <v>11593472</v>
      </c>
      <c r="S20">
        <v>3525074</v>
      </c>
      <c r="U20">
        <v>4500000</v>
      </c>
      <c r="V20">
        <v>165170</v>
      </c>
      <c r="W20">
        <v>11596051</v>
      </c>
      <c r="X20">
        <v>3529072</v>
      </c>
      <c r="Z20">
        <v>4500000</v>
      </c>
      <c r="AA20">
        <f t="shared" si="0"/>
        <v>117290.6</v>
      </c>
      <c r="AB20">
        <f t="shared" si="1"/>
        <v>11595651.4</v>
      </c>
      <c r="AC20">
        <f t="shared" si="2"/>
        <v>3528877</v>
      </c>
    </row>
    <row r="21" spans="1:29" x14ac:dyDescent="0.25">
      <c r="A21">
        <v>4750000</v>
      </c>
      <c r="B21">
        <v>92120</v>
      </c>
      <c r="C21">
        <v>12234446</v>
      </c>
      <c r="D21">
        <v>3711581</v>
      </c>
      <c r="F21">
        <v>4750000</v>
      </c>
      <c r="G21">
        <v>94825</v>
      </c>
      <c r="H21">
        <v>12231676</v>
      </c>
      <c r="I21">
        <v>3706926</v>
      </c>
      <c r="K21">
        <v>4750000</v>
      </c>
      <c r="L21">
        <v>99523</v>
      </c>
      <c r="M21">
        <v>12232476</v>
      </c>
      <c r="N21">
        <v>3708330</v>
      </c>
      <c r="P21">
        <v>4750000</v>
      </c>
      <c r="Q21">
        <v>164178</v>
      </c>
      <c r="R21">
        <v>12230571</v>
      </c>
      <c r="S21">
        <v>3705235</v>
      </c>
      <c r="U21">
        <v>4750000</v>
      </c>
      <c r="V21">
        <v>185546</v>
      </c>
      <c r="W21">
        <v>12231681</v>
      </c>
      <c r="X21">
        <v>3707178</v>
      </c>
      <c r="Z21">
        <v>4750000</v>
      </c>
      <c r="AA21">
        <f t="shared" si="0"/>
        <v>127238.39999999999</v>
      </c>
      <c r="AB21">
        <f t="shared" si="1"/>
        <v>12232170</v>
      </c>
      <c r="AC21">
        <f t="shared" si="2"/>
        <v>3707850</v>
      </c>
    </row>
    <row r="22" spans="1:29" x14ac:dyDescent="0.25">
      <c r="A22">
        <v>5000000</v>
      </c>
      <c r="B22">
        <v>104481</v>
      </c>
      <c r="C22">
        <v>12863495</v>
      </c>
      <c r="D22">
        <v>3877393</v>
      </c>
      <c r="F22">
        <v>5000000</v>
      </c>
      <c r="G22">
        <v>102112</v>
      </c>
      <c r="H22">
        <v>12865217</v>
      </c>
      <c r="I22">
        <v>3881250</v>
      </c>
      <c r="K22">
        <v>5000000</v>
      </c>
      <c r="L22">
        <v>104389</v>
      </c>
      <c r="M22">
        <v>12866716</v>
      </c>
      <c r="N22">
        <v>3882948</v>
      </c>
      <c r="P22">
        <v>5000000</v>
      </c>
      <c r="Q22">
        <v>186385</v>
      </c>
      <c r="R22">
        <v>12864624</v>
      </c>
      <c r="S22">
        <v>3879870</v>
      </c>
      <c r="U22">
        <v>5000000</v>
      </c>
      <c r="V22">
        <v>178955</v>
      </c>
      <c r="W22">
        <v>12865013</v>
      </c>
      <c r="X22">
        <v>3880415</v>
      </c>
      <c r="Z22">
        <v>5000000</v>
      </c>
      <c r="AA22">
        <f t="shared" si="0"/>
        <v>135264.4</v>
      </c>
      <c r="AB22">
        <f t="shared" si="1"/>
        <v>12865013</v>
      </c>
      <c r="AC22">
        <f t="shared" si="2"/>
        <v>3880375.2</v>
      </c>
    </row>
  </sheetData>
  <mergeCells count="6">
    <mergeCell ref="Z1:AC1"/>
    <mergeCell ref="A1:D1"/>
    <mergeCell ref="F1:I1"/>
    <mergeCell ref="K1:N1"/>
    <mergeCell ref="P1:S1"/>
    <mergeCell ref="U1:X1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534D-4A10-4081-8F2F-070AD6C4FFA9}">
  <dimension ref="A1:AC22"/>
  <sheetViews>
    <sheetView tabSelected="1" topLeftCell="A49" zoomScale="116" zoomScaleNormal="90" workbookViewId="0">
      <selection activeCell="J33" sqref="J33"/>
    </sheetView>
  </sheetViews>
  <sheetFormatPr defaultRowHeight="15" x14ac:dyDescent="0.25"/>
  <cols>
    <col min="1" max="1" width="11.42578125" customWidth="1"/>
    <col min="2" max="2" width="7.7109375" bestFit="1" customWidth="1"/>
    <col min="3" max="3" width="14.5703125" bestFit="1" customWidth="1"/>
    <col min="4" max="4" width="14.7109375" bestFit="1" customWidth="1"/>
    <col min="6" max="6" width="10.140625" customWidth="1"/>
    <col min="8" max="8" width="14.5703125" bestFit="1" customWidth="1"/>
    <col min="9" max="9" width="14.7109375" bestFit="1" customWidth="1"/>
    <col min="11" max="11" width="9.85546875" customWidth="1"/>
    <col min="13" max="14" width="14.7109375" bestFit="1" customWidth="1"/>
    <col min="16" max="16" width="10.5703125" customWidth="1"/>
    <col min="18" max="19" width="14.7109375" bestFit="1" customWidth="1"/>
    <col min="21" max="21" width="10.5703125" customWidth="1"/>
    <col min="23" max="24" width="14.7109375" bestFit="1" customWidth="1"/>
    <col min="26" max="26" width="13.85546875" customWidth="1"/>
    <col min="27" max="27" width="8.42578125" bestFit="1" customWidth="1"/>
    <col min="28" max="29" width="14.7109375" bestFit="1" customWidth="1"/>
  </cols>
  <sheetData>
    <row r="1" spans="1:29" x14ac:dyDescent="0.25">
      <c r="A1" s="3" t="s">
        <v>28</v>
      </c>
      <c r="B1" s="3"/>
      <c r="C1" s="3"/>
      <c r="D1" s="3"/>
      <c r="F1" s="3" t="s">
        <v>29</v>
      </c>
      <c r="G1" s="3"/>
      <c r="H1" s="3"/>
      <c r="I1" s="3"/>
      <c r="K1" s="3" t="s">
        <v>30</v>
      </c>
      <c r="L1" s="3"/>
      <c r="M1" s="3"/>
      <c r="N1" s="3"/>
      <c r="P1" s="3" t="s">
        <v>31</v>
      </c>
      <c r="Q1" s="3"/>
      <c r="R1" s="3"/>
      <c r="S1" s="3"/>
      <c r="U1" s="3" t="s">
        <v>32</v>
      </c>
      <c r="V1" s="3"/>
      <c r="W1" s="3"/>
      <c r="X1" s="3"/>
      <c r="Z1" s="3" t="s">
        <v>33</v>
      </c>
      <c r="AA1" s="3"/>
      <c r="AB1" s="3"/>
      <c r="AC1" s="3"/>
    </row>
    <row r="2" spans="1:29" x14ac:dyDescent="0.25">
      <c r="A2" t="s">
        <v>24</v>
      </c>
      <c r="B2" t="s">
        <v>25</v>
      </c>
      <c r="C2" t="s">
        <v>26</v>
      </c>
      <c r="D2" t="s">
        <v>27</v>
      </c>
      <c r="F2" t="s">
        <v>24</v>
      </c>
      <c r="G2" t="s">
        <v>25</v>
      </c>
      <c r="H2" t="s">
        <v>26</v>
      </c>
      <c r="I2" t="s">
        <v>27</v>
      </c>
      <c r="K2" t="s">
        <v>24</v>
      </c>
      <c r="L2" t="s">
        <v>25</v>
      </c>
      <c r="M2" t="s">
        <v>26</v>
      </c>
      <c r="N2" t="s">
        <v>27</v>
      </c>
      <c r="P2" t="s">
        <v>24</v>
      </c>
      <c r="Q2" t="s">
        <v>25</v>
      </c>
      <c r="R2" t="s">
        <v>26</v>
      </c>
      <c r="S2" t="s">
        <v>27</v>
      </c>
      <c r="U2" t="s">
        <v>24</v>
      </c>
      <c r="V2" t="s">
        <v>25</v>
      </c>
      <c r="W2" t="s">
        <v>26</v>
      </c>
      <c r="X2" t="s">
        <v>27</v>
      </c>
      <c r="Z2" t="s">
        <v>24</v>
      </c>
      <c r="AA2" t="s">
        <v>25</v>
      </c>
      <c r="AB2" t="s">
        <v>26</v>
      </c>
      <c r="AC2" t="s">
        <v>27</v>
      </c>
    </row>
    <row r="3" spans="1:29" x14ac:dyDescent="0.25">
      <c r="A3">
        <v>250000</v>
      </c>
      <c r="B3">
        <v>268</v>
      </c>
      <c r="C3">
        <v>653883</v>
      </c>
      <c r="D3">
        <v>373703</v>
      </c>
      <c r="F3">
        <v>250000</v>
      </c>
      <c r="G3">
        <v>4210</v>
      </c>
      <c r="H3">
        <v>654437</v>
      </c>
      <c r="I3">
        <v>374361</v>
      </c>
      <c r="K3">
        <v>250000</v>
      </c>
      <c r="L3">
        <v>7417</v>
      </c>
      <c r="M3">
        <v>654138</v>
      </c>
      <c r="N3">
        <v>374335</v>
      </c>
      <c r="P3">
        <v>250000</v>
      </c>
      <c r="Q3">
        <v>3620</v>
      </c>
      <c r="R3">
        <v>654075</v>
      </c>
      <c r="S3">
        <v>374137</v>
      </c>
      <c r="U3">
        <v>250000</v>
      </c>
      <c r="V3">
        <v>4418</v>
      </c>
      <c r="W3">
        <v>653640</v>
      </c>
      <c r="X3">
        <v>373396</v>
      </c>
      <c r="Z3">
        <v>250000</v>
      </c>
      <c r="AA3">
        <f t="shared" ref="AA3:AA22" si="0">AVERAGE(B3,G3,L3,Q3,V3)</f>
        <v>3986.6</v>
      </c>
      <c r="AB3">
        <f t="shared" ref="AB3:AB22" si="1">AVERAGE(C3,H3,M3,R3,W3)</f>
        <v>654034.6</v>
      </c>
      <c r="AC3">
        <f t="shared" ref="AC3:AC22" si="2">AVERAGE(D3,I3,N3,S3,X3)</f>
        <v>373986.4</v>
      </c>
    </row>
    <row r="4" spans="1:29" x14ac:dyDescent="0.25">
      <c r="A4">
        <v>500000</v>
      </c>
      <c r="B4">
        <v>4143</v>
      </c>
      <c r="C4">
        <v>1306818</v>
      </c>
      <c r="D4">
        <v>745301</v>
      </c>
      <c r="F4">
        <v>500000</v>
      </c>
      <c r="G4">
        <v>12084</v>
      </c>
      <c r="H4">
        <v>1304792</v>
      </c>
      <c r="I4">
        <v>743100</v>
      </c>
      <c r="K4">
        <v>500000</v>
      </c>
      <c r="L4">
        <v>22983</v>
      </c>
      <c r="M4">
        <v>1306720</v>
      </c>
      <c r="N4">
        <v>744859</v>
      </c>
      <c r="P4">
        <v>500000</v>
      </c>
      <c r="Q4">
        <v>10447</v>
      </c>
      <c r="R4">
        <v>1306640</v>
      </c>
      <c r="S4">
        <v>745515</v>
      </c>
      <c r="U4">
        <v>500000</v>
      </c>
      <c r="V4">
        <v>12509</v>
      </c>
      <c r="W4">
        <v>1307042</v>
      </c>
      <c r="X4">
        <v>745404</v>
      </c>
      <c r="Z4">
        <v>500000</v>
      </c>
      <c r="AA4">
        <f t="shared" si="0"/>
        <v>12433.2</v>
      </c>
      <c r="AB4">
        <f t="shared" si="1"/>
        <v>1306402.3999999999</v>
      </c>
      <c r="AC4">
        <f t="shared" si="2"/>
        <v>744835.8</v>
      </c>
    </row>
    <row r="5" spans="1:29" x14ac:dyDescent="0.25">
      <c r="A5">
        <v>750000</v>
      </c>
      <c r="B5">
        <v>5947</v>
      </c>
      <c r="C5">
        <v>1956408</v>
      </c>
      <c r="D5">
        <v>1111595</v>
      </c>
      <c r="F5">
        <v>750000</v>
      </c>
      <c r="G5">
        <v>22531</v>
      </c>
      <c r="H5">
        <v>1957529</v>
      </c>
      <c r="I5">
        <v>1112847</v>
      </c>
      <c r="K5">
        <v>750000</v>
      </c>
      <c r="L5">
        <v>41253</v>
      </c>
      <c r="M5">
        <v>1956931</v>
      </c>
      <c r="N5">
        <v>1112239</v>
      </c>
      <c r="P5">
        <v>750000</v>
      </c>
      <c r="Q5">
        <v>19438</v>
      </c>
      <c r="R5">
        <v>1958196</v>
      </c>
      <c r="S5">
        <v>1114013</v>
      </c>
      <c r="U5">
        <v>750000</v>
      </c>
      <c r="V5">
        <v>23408</v>
      </c>
      <c r="W5">
        <v>1957094</v>
      </c>
      <c r="X5">
        <v>1112399</v>
      </c>
      <c r="Z5">
        <v>750000</v>
      </c>
      <c r="AA5">
        <f t="shared" si="0"/>
        <v>22515.4</v>
      </c>
      <c r="AB5">
        <f t="shared" si="1"/>
        <v>1957231.6</v>
      </c>
      <c r="AC5">
        <f t="shared" si="2"/>
        <v>1112618.6000000001</v>
      </c>
    </row>
    <row r="6" spans="1:29" x14ac:dyDescent="0.25">
      <c r="A6">
        <v>1000000</v>
      </c>
      <c r="B6">
        <v>6196</v>
      </c>
      <c r="C6">
        <v>2608291</v>
      </c>
      <c r="D6">
        <v>1479368</v>
      </c>
      <c r="F6">
        <v>1000000</v>
      </c>
      <c r="G6">
        <v>28083</v>
      </c>
      <c r="H6">
        <v>2606787</v>
      </c>
      <c r="I6">
        <v>1477925</v>
      </c>
      <c r="K6">
        <v>1000000</v>
      </c>
      <c r="L6">
        <v>45092</v>
      </c>
      <c r="M6">
        <v>2607431</v>
      </c>
      <c r="N6">
        <v>1478699</v>
      </c>
      <c r="P6">
        <v>1000000</v>
      </c>
      <c r="Q6">
        <v>26866</v>
      </c>
      <c r="R6">
        <v>2607408</v>
      </c>
      <c r="S6">
        <v>1478439</v>
      </c>
      <c r="U6">
        <v>1000000</v>
      </c>
      <c r="V6">
        <v>30463</v>
      </c>
      <c r="W6">
        <v>2606984</v>
      </c>
      <c r="X6">
        <v>1478612</v>
      </c>
      <c r="Z6">
        <v>1000000</v>
      </c>
      <c r="AA6">
        <f t="shared" si="0"/>
        <v>27340</v>
      </c>
      <c r="AB6">
        <f t="shared" si="1"/>
        <v>2607380.2000000002</v>
      </c>
      <c r="AC6">
        <f t="shared" si="2"/>
        <v>1478608.6</v>
      </c>
    </row>
    <row r="7" spans="1:29" x14ac:dyDescent="0.25">
      <c r="A7">
        <v>1250000</v>
      </c>
      <c r="B7">
        <v>10192</v>
      </c>
      <c r="C7">
        <v>3256110</v>
      </c>
      <c r="D7">
        <v>1841890</v>
      </c>
      <c r="F7">
        <v>1250000</v>
      </c>
      <c r="G7">
        <v>42426</v>
      </c>
      <c r="H7">
        <v>3255561</v>
      </c>
      <c r="I7">
        <v>1841142</v>
      </c>
      <c r="K7">
        <v>1250000</v>
      </c>
      <c r="L7">
        <v>44131</v>
      </c>
      <c r="M7">
        <v>3256648</v>
      </c>
      <c r="N7">
        <v>1842196</v>
      </c>
      <c r="P7">
        <v>1250000</v>
      </c>
      <c r="Q7">
        <v>25344</v>
      </c>
      <c r="R7">
        <v>3256871</v>
      </c>
      <c r="S7">
        <v>1842705</v>
      </c>
      <c r="U7">
        <v>1250000</v>
      </c>
      <c r="V7">
        <v>31511</v>
      </c>
      <c r="W7">
        <v>3258515</v>
      </c>
      <c r="X7">
        <v>1845701</v>
      </c>
      <c r="Z7">
        <v>1250000</v>
      </c>
      <c r="AA7">
        <f t="shared" si="0"/>
        <v>30720.799999999999</v>
      </c>
      <c r="AB7">
        <f t="shared" si="1"/>
        <v>3256741</v>
      </c>
      <c r="AC7">
        <f t="shared" si="2"/>
        <v>1842726.8</v>
      </c>
    </row>
    <row r="8" spans="1:29" x14ac:dyDescent="0.25">
      <c r="A8">
        <v>1500000</v>
      </c>
      <c r="B8">
        <v>11712</v>
      </c>
      <c r="C8">
        <v>3904213</v>
      </c>
      <c r="D8">
        <v>2203096</v>
      </c>
      <c r="F8">
        <v>1500000</v>
      </c>
      <c r="G8">
        <v>36762</v>
      </c>
      <c r="H8">
        <v>3904243</v>
      </c>
      <c r="I8">
        <v>2203454</v>
      </c>
      <c r="K8">
        <v>1500000</v>
      </c>
      <c r="L8">
        <v>38756</v>
      </c>
      <c r="M8">
        <v>3904574</v>
      </c>
      <c r="N8">
        <v>2203407</v>
      </c>
      <c r="P8">
        <v>1500000</v>
      </c>
      <c r="Q8">
        <v>25990</v>
      </c>
      <c r="R8">
        <v>3904578</v>
      </c>
      <c r="S8">
        <v>2204908</v>
      </c>
      <c r="U8">
        <v>1500000</v>
      </c>
      <c r="V8">
        <v>29805</v>
      </c>
      <c r="W8">
        <v>3905066</v>
      </c>
      <c r="X8">
        <v>2203761</v>
      </c>
      <c r="Z8">
        <v>1500000</v>
      </c>
      <c r="AA8">
        <f t="shared" si="0"/>
        <v>28605</v>
      </c>
      <c r="AB8">
        <f t="shared" si="1"/>
        <v>3904534.8</v>
      </c>
      <c r="AC8">
        <f t="shared" si="2"/>
        <v>2203725.2000000002</v>
      </c>
    </row>
    <row r="9" spans="1:29" x14ac:dyDescent="0.25">
      <c r="A9">
        <v>1750000</v>
      </c>
      <c r="B9">
        <v>18581</v>
      </c>
      <c r="C9">
        <v>4549337</v>
      </c>
      <c r="D9">
        <v>2559181</v>
      </c>
      <c r="F9">
        <v>1750000</v>
      </c>
      <c r="G9">
        <v>34653</v>
      </c>
      <c r="H9">
        <v>4551732</v>
      </c>
      <c r="I9">
        <v>2562095</v>
      </c>
      <c r="K9">
        <v>1750000</v>
      </c>
      <c r="L9">
        <v>50183</v>
      </c>
      <c r="M9">
        <v>4550602</v>
      </c>
      <c r="N9">
        <v>2561687</v>
      </c>
      <c r="P9">
        <v>1750000</v>
      </c>
      <c r="Q9">
        <v>28065</v>
      </c>
      <c r="R9">
        <v>4550306</v>
      </c>
      <c r="S9">
        <v>2561441</v>
      </c>
      <c r="U9">
        <v>1750000</v>
      </c>
      <c r="V9">
        <v>25760</v>
      </c>
      <c r="W9">
        <v>4551337</v>
      </c>
      <c r="X9">
        <v>2563321</v>
      </c>
      <c r="Z9">
        <v>1750000</v>
      </c>
      <c r="AA9">
        <f t="shared" si="0"/>
        <v>31448.400000000001</v>
      </c>
      <c r="AB9">
        <f t="shared" si="1"/>
        <v>4550662.8</v>
      </c>
      <c r="AC9">
        <f t="shared" si="2"/>
        <v>2561545</v>
      </c>
    </row>
    <row r="10" spans="1:29" x14ac:dyDescent="0.25">
      <c r="A10">
        <v>2000000</v>
      </c>
      <c r="B10">
        <v>20833</v>
      </c>
      <c r="C10">
        <v>5199067</v>
      </c>
      <c r="D10">
        <v>2921568</v>
      </c>
      <c r="F10">
        <v>2000000</v>
      </c>
      <c r="G10">
        <v>47299</v>
      </c>
      <c r="H10">
        <v>5197027</v>
      </c>
      <c r="I10">
        <v>2917555</v>
      </c>
      <c r="K10">
        <v>2000000</v>
      </c>
      <c r="L10">
        <v>49835</v>
      </c>
      <c r="M10">
        <v>5197792</v>
      </c>
      <c r="N10">
        <v>2919749</v>
      </c>
      <c r="P10">
        <v>2000000</v>
      </c>
      <c r="Q10">
        <v>28113</v>
      </c>
      <c r="R10">
        <v>5196834</v>
      </c>
      <c r="S10">
        <v>2917552</v>
      </c>
      <c r="U10">
        <v>2000000</v>
      </c>
      <c r="V10">
        <v>27056</v>
      </c>
      <c r="W10">
        <v>5197905</v>
      </c>
      <c r="X10">
        <v>2920289</v>
      </c>
      <c r="Z10">
        <v>2000000</v>
      </c>
      <c r="AA10">
        <f t="shared" si="0"/>
        <v>34627.199999999997</v>
      </c>
      <c r="AB10">
        <f t="shared" si="1"/>
        <v>5197725</v>
      </c>
      <c r="AC10">
        <f t="shared" si="2"/>
        <v>2919342.6</v>
      </c>
    </row>
    <row r="11" spans="1:29" x14ac:dyDescent="0.25">
      <c r="A11">
        <v>2250000</v>
      </c>
      <c r="B11">
        <v>26722</v>
      </c>
      <c r="C11">
        <v>5840733</v>
      </c>
      <c r="D11">
        <v>3271151</v>
      </c>
      <c r="F11">
        <v>2250000</v>
      </c>
      <c r="G11">
        <v>49524</v>
      </c>
      <c r="H11">
        <v>5843197</v>
      </c>
      <c r="I11">
        <v>3275617</v>
      </c>
      <c r="K11">
        <v>2250000</v>
      </c>
      <c r="L11">
        <v>47928</v>
      </c>
      <c r="M11">
        <v>5842417</v>
      </c>
      <c r="N11">
        <v>3273113</v>
      </c>
      <c r="P11">
        <v>2250000</v>
      </c>
      <c r="Q11">
        <v>32058</v>
      </c>
      <c r="R11">
        <v>5843798</v>
      </c>
      <c r="S11">
        <v>3274838</v>
      </c>
      <c r="U11">
        <v>2250000</v>
      </c>
      <c r="V11">
        <v>31668</v>
      </c>
      <c r="W11">
        <v>5844391</v>
      </c>
      <c r="X11">
        <v>3276895</v>
      </c>
      <c r="Z11">
        <v>2250000</v>
      </c>
      <c r="AA11">
        <f t="shared" si="0"/>
        <v>37580</v>
      </c>
      <c r="AB11">
        <f t="shared" si="1"/>
        <v>5842907.2000000002</v>
      </c>
      <c r="AC11">
        <f t="shared" si="2"/>
        <v>3274322.8</v>
      </c>
    </row>
    <row r="12" spans="1:29" x14ac:dyDescent="0.25">
      <c r="A12">
        <v>2500000</v>
      </c>
      <c r="B12">
        <v>30623</v>
      </c>
      <c r="C12">
        <v>6485607</v>
      </c>
      <c r="D12">
        <v>3625074</v>
      </c>
      <c r="F12">
        <v>2500000</v>
      </c>
      <c r="G12">
        <v>59683</v>
      </c>
      <c r="H12">
        <v>6484586</v>
      </c>
      <c r="I12">
        <v>3623459</v>
      </c>
      <c r="K12">
        <v>2500000</v>
      </c>
      <c r="L12">
        <v>54642</v>
      </c>
      <c r="M12">
        <v>6487450</v>
      </c>
      <c r="N12">
        <v>3626785</v>
      </c>
      <c r="P12">
        <v>2500000</v>
      </c>
      <c r="Q12">
        <v>35431</v>
      </c>
      <c r="R12">
        <v>6486959</v>
      </c>
      <c r="S12">
        <v>3626842</v>
      </c>
      <c r="U12">
        <v>2500000</v>
      </c>
      <c r="V12">
        <v>31167</v>
      </c>
      <c r="W12">
        <v>6486792</v>
      </c>
      <c r="X12">
        <v>3625210</v>
      </c>
      <c r="Z12">
        <v>2500000</v>
      </c>
      <c r="AA12">
        <f t="shared" si="0"/>
        <v>42309.2</v>
      </c>
      <c r="AB12">
        <f t="shared" si="1"/>
        <v>6486278.7999999998</v>
      </c>
      <c r="AC12">
        <f t="shared" si="2"/>
        <v>3625474</v>
      </c>
    </row>
    <row r="13" spans="1:29" x14ac:dyDescent="0.25">
      <c r="A13">
        <v>2750000</v>
      </c>
      <c r="B13">
        <v>36070</v>
      </c>
      <c r="C13">
        <v>7125169</v>
      </c>
      <c r="D13">
        <v>3971252</v>
      </c>
      <c r="F13">
        <v>2750000</v>
      </c>
      <c r="G13">
        <v>66913</v>
      </c>
      <c r="H13">
        <v>7125705</v>
      </c>
      <c r="I13">
        <v>3970899</v>
      </c>
      <c r="K13">
        <v>2750000</v>
      </c>
      <c r="L13">
        <v>56120</v>
      </c>
      <c r="M13">
        <v>7124452</v>
      </c>
      <c r="N13">
        <v>3969646</v>
      </c>
      <c r="P13">
        <v>2750000</v>
      </c>
      <c r="Q13">
        <v>43114</v>
      </c>
      <c r="R13">
        <v>7127500</v>
      </c>
      <c r="S13">
        <v>3973251</v>
      </c>
      <c r="U13">
        <v>2750000</v>
      </c>
      <c r="V13">
        <v>37334</v>
      </c>
      <c r="W13">
        <v>7128545</v>
      </c>
      <c r="X13">
        <v>3974955</v>
      </c>
      <c r="Z13">
        <v>2750000</v>
      </c>
      <c r="AA13">
        <f t="shared" si="0"/>
        <v>47910.2</v>
      </c>
      <c r="AB13">
        <f t="shared" si="1"/>
        <v>7126274.2000000002</v>
      </c>
      <c r="AC13">
        <f t="shared" si="2"/>
        <v>3972000.6</v>
      </c>
    </row>
    <row r="14" spans="1:29" x14ac:dyDescent="0.25">
      <c r="A14">
        <v>3000000</v>
      </c>
      <c r="B14">
        <v>44635</v>
      </c>
      <c r="C14">
        <v>7772543</v>
      </c>
      <c r="D14">
        <v>4324738</v>
      </c>
      <c r="F14">
        <v>3000000</v>
      </c>
      <c r="G14">
        <v>79167</v>
      </c>
      <c r="H14">
        <v>7772536</v>
      </c>
      <c r="I14">
        <v>4324766</v>
      </c>
      <c r="K14">
        <v>3000000</v>
      </c>
      <c r="L14">
        <v>64718</v>
      </c>
      <c r="M14">
        <v>7769492</v>
      </c>
      <c r="N14">
        <v>4320202</v>
      </c>
      <c r="P14">
        <v>3000000</v>
      </c>
      <c r="Q14">
        <v>44714</v>
      </c>
      <c r="R14">
        <v>7770464</v>
      </c>
      <c r="S14">
        <v>4321871</v>
      </c>
      <c r="U14">
        <v>3000000</v>
      </c>
      <c r="V14">
        <v>48583</v>
      </c>
      <c r="W14">
        <v>7771084</v>
      </c>
      <c r="X14">
        <v>4321870</v>
      </c>
      <c r="Z14">
        <v>3000000</v>
      </c>
      <c r="AA14">
        <f t="shared" si="0"/>
        <v>56363.4</v>
      </c>
      <c r="AB14">
        <f t="shared" si="1"/>
        <v>7771223.7999999998</v>
      </c>
      <c r="AC14">
        <f t="shared" si="2"/>
        <v>4322689.4000000004</v>
      </c>
    </row>
    <row r="15" spans="1:29" x14ac:dyDescent="0.25">
      <c r="A15">
        <v>3250000</v>
      </c>
      <c r="B15">
        <v>47930</v>
      </c>
      <c r="C15">
        <v>8411468</v>
      </c>
      <c r="D15">
        <v>4667220</v>
      </c>
      <c r="F15">
        <v>3250000</v>
      </c>
      <c r="G15">
        <v>78996</v>
      </c>
      <c r="H15">
        <v>8409909</v>
      </c>
      <c r="I15">
        <v>4665927</v>
      </c>
      <c r="K15">
        <v>3250000</v>
      </c>
      <c r="L15">
        <v>90065</v>
      </c>
      <c r="M15">
        <v>8410419</v>
      </c>
      <c r="N15">
        <v>4664887</v>
      </c>
      <c r="P15">
        <v>3250000</v>
      </c>
      <c r="Q15">
        <v>52954</v>
      </c>
      <c r="R15">
        <v>8408242</v>
      </c>
      <c r="S15">
        <v>4662966</v>
      </c>
      <c r="U15">
        <v>3250000</v>
      </c>
      <c r="V15">
        <v>53782</v>
      </c>
      <c r="W15">
        <v>8408173</v>
      </c>
      <c r="X15">
        <v>4663277</v>
      </c>
      <c r="Z15">
        <v>3250000</v>
      </c>
      <c r="AA15">
        <f t="shared" si="0"/>
        <v>64745.4</v>
      </c>
      <c r="AB15">
        <f t="shared" si="1"/>
        <v>8409642.1999999993</v>
      </c>
      <c r="AC15">
        <f t="shared" si="2"/>
        <v>4664855.4000000004</v>
      </c>
    </row>
    <row r="16" spans="1:29" x14ac:dyDescent="0.25">
      <c r="A16">
        <v>3500000</v>
      </c>
      <c r="B16">
        <v>55045</v>
      </c>
      <c r="C16">
        <v>9048390</v>
      </c>
      <c r="D16">
        <v>5007163</v>
      </c>
      <c r="F16">
        <v>3500000</v>
      </c>
      <c r="G16">
        <v>111863</v>
      </c>
      <c r="H16">
        <v>9051178</v>
      </c>
      <c r="I16">
        <v>5011337</v>
      </c>
      <c r="K16">
        <v>3500000</v>
      </c>
      <c r="L16">
        <v>111411</v>
      </c>
      <c r="M16">
        <v>9052589</v>
      </c>
      <c r="N16">
        <v>5011885</v>
      </c>
      <c r="P16">
        <v>3500000</v>
      </c>
      <c r="Q16">
        <v>53320</v>
      </c>
      <c r="R16">
        <v>9050592</v>
      </c>
      <c r="S16">
        <v>5006885</v>
      </c>
      <c r="U16">
        <v>3500000</v>
      </c>
      <c r="V16">
        <v>56880</v>
      </c>
      <c r="W16">
        <v>9049788</v>
      </c>
      <c r="X16">
        <v>5007731</v>
      </c>
      <c r="Z16">
        <v>3500000</v>
      </c>
      <c r="AA16">
        <f t="shared" si="0"/>
        <v>77703.8</v>
      </c>
      <c r="AB16">
        <f t="shared" si="1"/>
        <v>9050507.4000000004</v>
      </c>
      <c r="AC16">
        <f t="shared" si="2"/>
        <v>5009000.2</v>
      </c>
    </row>
    <row r="17" spans="1:29" x14ac:dyDescent="0.25">
      <c r="A17">
        <v>3750000</v>
      </c>
      <c r="B17">
        <v>63340</v>
      </c>
      <c r="C17">
        <v>9692045</v>
      </c>
      <c r="D17">
        <v>5352124</v>
      </c>
      <c r="F17">
        <v>3750000</v>
      </c>
      <c r="G17">
        <v>101371</v>
      </c>
      <c r="H17">
        <v>9691683</v>
      </c>
      <c r="I17">
        <v>5352301</v>
      </c>
      <c r="K17">
        <v>3750000</v>
      </c>
      <c r="L17">
        <v>117179</v>
      </c>
      <c r="M17">
        <v>9690900</v>
      </c>
      <c r="N17">
        <v>5350934</v>
      </c>
      <c r="P17">
        <v>3750000</v>
      </c>
      <c r="Q17">
        <v>65685</v>
      </c>
      <c r="R17">
        <v>9692652</v>
      </c>
      <c r="S17">
        <v>5354081</v>
      </c>
      <c r="U17">
        <v>3750000</v>
      </c>
      <c r="V17">
        <v>59594</v>
      </c>
      <c r="W17">
        <v>9691159</v>
      </c>
      <c r="X17">
        <v>5352432</v>
      </c>
      <c r="Z17">
        <v>3750000</v>
      </c>
      <c r="AA17">
        <f t="shared" si="0"/>
        <v>81433.8</v>
      </c>
      <c r="AB17">
        <f t="shared" si="1"/>
        <v>9691687.8000000007</v>
      </c>
      <c r="AC17">
        <f t="shared" si="2"/>
        <v>5352374.4000000004</v>
      </c>
    </row>
    <row r="18" spans="1:29" x14ac:dyDescent="0.25">
      <c r="A18">
        <v>4000000</v>
      </c>
      <c r="B18">
        <v>71629</v>
      </c>
      <c r="C18">
        <v>10330011</v>
      </c>
      <c r="D18">
        <v>5690877</v>
      </c>
      <c r="F18">
        <v>4000000</v>
      </c>
      <c r="G18">
        <v>70887</v>
      </c>
      <c r="H18">
        <v>10326997</v>
      </c>
      <c r="I18">
        <v>5687070</v>
      </c>
      <c r="K18">
        <v>4000000</v>
      </c>
      <c r="L18">
        <v>132541</v>
      </c>
      <c r="M18">
        <v>10328783</v>
      </c>
      <c r="N18">
        <v>5688943</v>
      </c>
      <c r="P18">
        <v>4000000</v>
      </c>
      <c r="Q18">
        <v>75116</v>
      </c>
      <c r="R18">
        <v>10323937</v>
      </c>
      <c r="S18">
        <v>5682980</v>
      </c>
      <c r="U18">
        <v>4000000</v>
      </c>
      <c r="V18">
        <v>73907</v>
      </c>
      <c r="W18">
        <v>10324481</v>
      </c>
      <c r="X18">
        <v>5684055</v>
      </c>
      <c r="Z18">
        <v>4000000</v>
      </c>
      <c r="AA18">
        <f t="shared" si="0"/>
        <v>84816</v>
      </c>
      <c r="AB18">
        <f t="shared" si="1"/>
        <v>10326841.800000001</v>
      </c>
      <c r="AC18">
        <f t="shared" si="2"/>
        <v>5686785</v>
      </c>
    </row>
    <row r="19" spans="1:29" x14ac:dyDescent="0.25">
      <c r="A19">
        <v>4250000</v>
      </c>
      <c r="B19">
        <v>82207</v>
      </c>
      <c r="C19">
        <v>10957382</v>
      </c>
      <c r="D19">
        <v>6014953</v>
      </c>
      <c r="F19">
        <v>4250000</v>
      </c>
      <c r="G19">
        <v>76723</v>
      </c>
      <c r="H19">
        <v>10958571</v>
      </c>
      <c r="I19">
        <v>6014402</v>
      </c>
      <c r="K19">
        <v>4250000</v>
      </c>
      <c r="L19">
        <v>88835</v>
      </c>
      <c r="M19">
        <v>10956149</v>
      </c>
      <c r="N19">
        <v>6014486</v>
      </c>
      <c r="P19">
        <v>4250000</v>
      </c>
      <c r="Q19">
        <v>83662</v>
      </c>
      <c r="R19">
        <v>10955730</v>
      </c>
      <c r="S19">
        <v>6013299</v>
      </c>
      <c r="U19">
        <v>4250000</v>
      </c>
      <c r="V19">
        <v>82853</v>
      </c>
      <c r="W19">
        <v>10953763</v>
      </c>
      <c r="X19">
        <v>6009286</v>
      </c>
      <c r="Z19">
        <v>4250000</v>
      </c>
      <c r="AA19">
        <f t="shared" si="0"/>
        <v>82856</v>
      </c>
      <c r="AB19">
        <f t="shared" si="1"/>
        <v>10956319</v>
      </c>
      <c r="AC19">
        <f t="shared" si="2"/>
        <v>6013285.2000000002</v>
      </c>
    </row>
    <row r="20" spans="1:29" x14ac:dyDescent="0.25">
      <c r="A20">
        <v>4500000</v>
      </c>
      <c r="B20">
        <v>91870</v>
      </c>
      <c r="C20">
        <v>11601337</v>
      </c>
      <c r="D20">
        <v>6357391</v>
      </c>
      <c r="F20">
        <v>4500000</v>
      </c>
      <c r="G20">
        <v>125712</v>
      </c>
      <c r="H20">
        <v>11604060</v>
      </c>
      <c r="I20">
        <v>6361926</v>
      </c>
      <c r="K20">
        <v>4500000</v>
      </c>
      <c r="L20">
        <v>90233</v>
      </c>
      <c r="M20">
        <v>11602693</v>
      </c>
      <c r="N20">
        <v>6360034</v>
      </c>
      <c r="P20">
        <v>4500000</v>
      </c>
      <c r="Q20">
        <v>89921</v>
      </c>
      <c r="R20">
        <v>11603025</v>
      </c>
      <c r="S20">
        <v>6359347</v>
      </c>
      <c r="U20">
        <v>4500000</v>
      </c>
      <c r="V20">
        <v>84859</v>
      </c>
      <c r="W20">
        <v>11601187</v>
      </c>
      <c r="X20">
        <v>6357610</v>
      </c>
      <c r="Z20">
        <v>4500000</v>
      </c>
      <c r="AA20">
        <f t="shared" si="0"/>
        <v>96519</v>
      </c>
      <c r="AB20">
        <f t="shared" si="1"/>
        <v>11602460.4</v>
      </c>
      <c r="AC20">
        <f t="shared" si="2"/>
        <v>6359261.5999999996</v>
      </c>
    </row>
    <row r="21" spans="1:29" x14ac:dyDescent="0.25">
      <c r="A21">
        <v>4750000</v>
      </c>
      <c r="B21">
        <v>98972</v>
      </c>
      <c r="C21">
        <v>12243185</v>
      </c>
      <c r="D21">
        <v>6697846</v>
      </c>
      <c r="F21">
        <v>4750000</v>
      </c>
      <c r="G21">
        <v>183681</v>
      </c>
      <c r="H21">
        <v>12242163</v>
      </c>
      <c r="I21">
        <v>6695806</v>
      </c>
      <c r="K21">
        <v>4750000</v>
      </c>
      <c r="L21">
        <v>102075</v>
      </c>
      <c r="M21">
        <v>12241180</v>
      </c>
      <c r="N21">
        <v>6695559</v>
      </c>
      <c r="P21">
        <v>4750000</v>
      </c>
      <c r="Q21">
        <v>101058</v>
      </c>
      <c r="R21">
        <v>12242047</v>
      </c>
      <c r="S21">
        <v>6697123</v>
      </c>
      <c r="U21">
        <v>4750000</v>
      </c>
      <c r="V21">
        <v>97987</v>
      </c>
      <c r="W21">
        <v>12236054</v>
      </c>
      <c r="X21">
        <v>6688273</v>
      </c>
      <c r="Z21">
        <v>4750000</v>
      </c>
      <c r="AA21">
        <f t="shared" si="0"/>
        <v>116754.6</v>
      </c>
      <c r="AB21">
        <f t="shared" si="1"/>
        <v>12240925.800000001</v>
      </c>
      <c r="AC21">
        <f t="shared" si="2"/>
        <v>6694921.4000000004</v>
      </c>
    </row>
    <row r="22" spans="1:29" x14ac:dyDescent="0.25">
      <c r="A22">
        <v>5000000</v>
      </c>
      <c r="B22">
        <v>106218</v>
      </c>
      <c r="C22">
        <v>12876084</v>
      </c>
      <c r="D22">
        <v>7025522</v>
      </c>
      <c r="F22">
        <v>5000000</v>
      </c>
      <c r="G22">
        <v>212148</v>
      </c>
      <c r="H22">
        <v>12876376</v>
      </c>
      <c r="I22">
        <v>7024329</v>
      </c>
      <c r="K22">
        <v>5000000</v>
      </c>
      <c r="L22">
        <v>101857</v>
      </c>
      <c r="M22">
        <v>12878646</v>
      </c>
      <c r="N22">
        <v>7028079</v>
      </c>
      <c r="P22">
        <v>5000000</v>
      </c>
      <c r="Q22">
        <v>107592</v>
      </c>
      <c r="R22">
        <v>12874632</v>
      </c>
      <c r="S22">
        <v>7022724</v>
      </c>
      <c r="U22">
        <v>5000000</v>
      </c>
      <c r="V22">
        <v>101535</v>
      </c>
      <c r="W22">
        <v>12874419</v>
      </c>
      <c r="X22">
        <v>7023878</v>
      </c>
      <c r="Z22">
        <v>5000000</v>
      </c>
      <c r="AA22">
        <f t="shared" si="0"/>
        <v>125870</v>
      </c>
      <c r="AB22">
        <f t="shared" si="1"/>
        <v>12876031.4</v>
      </c>
      <c r="AC22">
        <f t="shared" si="2"/>
        <v>7024906.4000000004</v>
      </c>
    </row>
  </sheetData>
  <mergeCells count="6">
    <mergeCell ref="Z1:AC1"/>
    <mergeCell ref="A1:D1"/>
    <mergeCell ref="F1:I1"/>
    <mergeCell ref="K1:N1"/>
    <mergeCell ref="P1:S1"/>
    <mergeCell ref="U1:X1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7A3E3B-FD40-4827-B83E-5590363CC6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quick sort</vt:lpstr>
      <vt:lpstr>modded quick sort</vt:lpstr>
      <vt:lpstr>radix sort</vt:lpstr>
      <vt:lpstr>modded radix sort</vt:lpstr>
      <vt:lpstr>bucket sort</vt:lpstr>
      <vt:lpstr>modded bucket 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Lagoda</dc:creator>
  <cp:lastModifiedBy>Emilia Lagoda</cp:lastModifiedBy>
  <dcterms:created xsi:type="dcterms:W3CDTF">2025-10-27T06:43:00Z</dcterms:created>
  <dcterms:modified xsi:type="dcterms:W3CDTF">2025-11-25T14:11:20Z</dcterms:modified>
</cp:coreProperties>
</file>